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onfigurar" sheetId="2" state="visible" r:id="rId2"/>
    <sheet xmlns:r="http://schemas.openxmlformats.org/officeDocument/2006/relationships" name="Fluxo 13 semanas" sheetId="3" state="visible" r:id="rId3"/>
    <sheet xmlns:r="http://schemas.openxmlformats.org/officeDocument/2006/relationships" name="DRE mens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&quot;R$&quot; #,##0.00;[Red]-&quot;R$&quot; #,##0.00"/>
    <numFmt numFmtId="167" formatCode="dd/mm"/>
    <numFmt numFmtId="168" formatCode="&quot;R$&quot; #,##0;[Red]-&quot;R$&quot; #,##0"/>
    <numFmt numFmtId="169" formatCode="0.0%"/>
  </numFmts>
  <fonts count="13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Inter"/>
      <color rgb="00FCC419"/>
      <sz val="10"/>
    </font>
    <font>
      <name val="Inter"/>
      <b val="1"/>
      <sz val="11"/>
    </font>
    <font>
      <name val="Inter"/>
      <sz val="11"/>
    </font>
    <font>
      <b val="1"/>
    </font>
    <font>
      <name val="Inter"/>
      <b val="1"/>
      <color rgb="000B1220"/>
    </font>
    <font>
      <name val="Inter"/>
    </font>
    <font>
      <i val="1"/>
      <color rgb="005B6576"/>
      <sz val="9"/>
    </font>
    <font>
      <name val="Inter"/>
      <b val="1"/>
    </font>
    <font>
      <name val="Inter"/>
      <b val="1"/>
      <color rgb="00FFFFFF"/>
    </font>
    <font>
      <b val="1"/>
      <color rgb="0015803D"/>
    </font>
    <font>
      <b val="1"/>
      <color rgb="00B91C1C"/>
    </font>
  </fonts>
  <fills count="5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FF4CC"/>
      </patternFill>
    </fill>
    <fill>
      <patternFill patternType="solid">
        <fgColor rgb="00E8F7EE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vertical="center" wrapText="1"/>
    </xf>
    <xf numFmtId="165" fontId="6" fillId="3" borderId="1" pivotButton="0" quotePrefix="0" xfId="0"/>
    <xf numFmtId="166" fontId="6" fillId="3" borderId="1" pivotButton="0" quotePrefix="0" xfId="0"/>
    <xf numFmtId="0" fontId="10" fillId="2" borderId="1" applyAlignment="1" pivotButton="0" quotePrefix="0" xfId="0">
      <alignment vertical="center" wrapText="1"/>
    </xf>
    <xf numFmtId="167" fontId="7" fillId="4" borderId="1" pivotButton="0" quotePrefix="0" xfId="0"/>
    <xf numFmtId="0" fontId="11" fillId="0" borderId="0" pivotButton="0" quotePrefix="0" xfId="0"/>
    <xf numFmtId="0" fontId="7" fillId="0" borderId="1" applyAlignment="1" pivotButton="0" quotePrefix="0" xfId="0">
      <alignment vertical="center" wrapText="1"/>
    </xf>
    <xf numFmtId="168" fontId="6" fillId="3" borderId="1" pivotButton="0" quotePrefix="0" xfId="0"/>
    <xf numFmtId="168" fontId="9" fillId="4" borderId="1" pivotButton="0" quotePrefix="0" xfId="0"/>
    <xf numFmtId="0" fontId="12" fillId="0" borderId="0" pivotButton="0" quotePrefix="0" xfId="0"/>
    <xf numFmtId="0" fontId="9" fillId="4" borderId="1" pivotButton="0" quotePrefix="0" xfId="0"/>
    <xf numFmtId="169" fontId="9" fillId="4" borderId="1" pivotButton="0" quotePrefix="0" xfId="0"/>
  </cellXfs>
  <cellStyles count="1">
    <cellStyle name="Normal" xfId="0" builtinId="0" hidden="0"/>
  </cellStyles>
  <dxfs count="4">
    <dxf>
      <font>
        <b val="1"/>
        <color rgb="00B91C1C"/>
      </font>
      <fill>
        <patternFill patternType="solid">
          <fgColor rgb="00FDE2E2"/>
        </patternFill>
      </fill>
    </dxf>
    <dxf>
      <fill>
        <patternFill patternType="solid">
          <fgColor rgb="00FD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final por semana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'Fluxo 13 semanas'!$B$4:$N$4</f>
            </numRef>
          </cat>
          <val>
            <numRef>
              <f>'Fluxo 13 semanas'!$B$26:$N$26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86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 ht="30" customHeight="1">
      <c r="A1" s="1" t="inlineStr">
        <is>
          <t>Fluxo de Caixa 13 Semanas + DRE</t>
        </is>
      </c>
      <c r="B1" s="2" t="n"/>
      <c r="C1" s="2" t="n"/>
    </row>
    <row r="2">
      <c r="A2" s="3" t="inlineStr">
        <is>
          <t>Kit Não Vire Estatística · Plano de Blindagem 2027–2030</t>
        </is>
      </c>
      <c r="B2" s="2" t="n"/>
      <c r="C2" s="2" t="n"/>
    </row>
    <row r="4" ht="18" customHeight="1">
      <c r="A4" s="4" t="inlineStr">
        <is>
          <t>Para que serve:</t>
        </is>
      </c>
    </row>
    <row r="5" ht="30" customHeight="1">
      <c r="A5" s="5" t="inlineStr">
        <is>
          <t>• Fluxo 13 semanas: enxergar o caixa 3 meses à frente e descobrir com antecedência a semana em que o dinheiro ficaria negativo.</t>
        </is>
      </c>
    </row>
    <row r="6" ht="30" customHeight="1">
      <c r="A6" s="5" t="inlineStr">
        <is>
          <t>• DRE mensal: saber se a empresa dá lucro de verdade, qual a margem de contribuição e o ponto de equilíbrio.</t>
        </is>
      </c>
    </row>
    <row r="7" ht="18" customHeight="1">
      <c r="A7" s="4" t="inlineStr">
        <is>
          <t>Como usar:</t>
        </is>
      </c>
    </row>
    <row r="8" ht="18" customHeight="1">
      <c r="A8" s="5" t="inlineStr">
        <is>
          <t>• Aba Configurar: data de início (uma segunda-feira), saldo inicial e reserva mínima.</t>
        </is>
      </c>
    </row>
    <row r="9" ht="30" customHeight="1">
      <c r="A9" s="5" t="inlineStr">
        <is>
          <t>• Aba Fluxo 13 semanas: preencha as células amarelas. Toda segunda, troque o previsto pelo realizado.</t>
        </is>
      </c>
    </row>
    <row r="10" ht="18" customHeight="1">
      <c r="A10" s="5" t="inlineStr">
        <is>
          <t>• Aba DRE mensal: uma coluna por mês.</t>
        </is>
      </c>
    </row>
    <row r="11" ht="18" customHeight="1">
      <c r="A11" s="5" t="inlineStr">
        <is>
          <t>Funciona no Excel e no Google Planilhas.</t>
        </is>
      </c>
    </row>
    <row r="13">
      <c r="A13" s="6" t="inlineStr">
        <is>
          <t>Legenda:</t>
        </is>
      </c>
    </row>
    <row r="14">
      <c r="A14" s="7" t="inlineStr">
        <is>
          <t>Célula amarela = você preenche</t>
        </is>
      </c>
    </row>
    <row r="15">
      <c r="A15" s="8" t="inlineStr">
        <is>
          <t>Célula verde = calculada (não apague)</t>
        </is>
      </c>
    </row>
    <row r="17">
      <c r="A17" s="9" t="inlineStr">
        <is>
          <t>Conteúdo educativo; não substitui contador. Alíquotas de 2027+ são estimativas não oficiais (dados de 28/10/2026).</t>
        </is>
      </c>
    </row>
  </sheetData>
  <mergeCells count="8">
    <mergeCell ref="A10:C10"/>
    <mergeCell ref="A11:C11"/>
    <mergeCell ref="A5:C5"/>
    <mergeCell ref="A8:C8"/>
    <mergeCell ref="A6:C6"/>
    <mergeCell ref="A9:C9"/>
    <mergeCell ref="A7:C7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 ht="30" customHeight="1">
      <c r="A1" s="1" t="inlineStr">
        <is>
          <t>Configurar</t>
        </is>
      </c>
      <c r="B1" s="2" t="n"/>
      <c r="C1" s="2" t="n"/>
    </row>
    <row r="2">
      <c r="A2" s="2" t="n"/>
      <c r="B2" s="2" t="n"/>
      <c r="C2" s="2" t="n"/>
    </row>
    <row r="4">
      <c r="A4" s="10" t="inlineStr">
        <is>
          <t>Nome da empresa</t>
        </is>
      </c>
      <c r="B4" s="7" t="inlineStr">
        <is>
          <t>Minha Empresa</t>
        </is>
      </c>
    </row>
    <row r="5">
      <c r="A5" s="10" t="inlineStr">
        <is>
          <t>Segunda-feira de início da semana 1</t>
        </is>
      </c>
      <c r="B5" s="11" t="n">
        <v>46328</v>
      </c>
    </row>
    <row r="6">
      <c r="A6" s="10" t="inlineStr">
        <is>
          <t>Saldo de caixa inicial (todas as contas da empresa)</t>
        </is>
      </c>
      <c r="B6" s="12" t="n">
        <v>15000</v>
      </c>
    </row>
    <row r="7">
      <c r="A7" s="10" t="inlineStr">
        <is>
          <t>Reserva mínima desejada (1 mês de custo fixo)</t>
        </is>
      </c>
      <c r="B7" s="12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1" t="inlineStr">
        <is>
          <t>Fluxo de caixa · 13 semanas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Preencha entradas e saídas previstas. Toda segunda: troque previsto por realizado.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A4" s="13" t="inlineStr">
        <is>
          <t>Semana</t>
        </is>
      </c>
      <c r="B4" s="13" t="inlineStr">
        <is>
          <t>S1</t>
        </is>
      </c>
      <c r="C4" s="13" t="inlineStr">
        <is>
          <t>S2</t>
        </is>
      </c>
      <c r="D4" s="13" t="inlineStr">
        <is>
          <t>S3</t>
        </is>
      </c>
      <c r="E4" s="13" t="inlineStr">
        <is>
          <t>S4</t>
        </is>
      </c>
      <c r="F4" s="13" t="inlineStr">
        <is>
          <t>S5</t>
        </is>
      </c>
      <c r="G4" s="13" t="inlineStr">
        <is>
          <t>S6</t>
        </is>
      </c>
      <c r="H4" s="13" t="inlineStr">
        <is>
          <t>S7</t>
        </is>
      </c>
      <c r="I4" s="13" t="inlineStr">
        <is>
          <t>S8</t>
        </is>
      </c>
      <c r="J4" s="13" t="inlineStr">
        <is>
          <t>S9</t>
        </is>
      </c>
      <c r="K4" s="13" t="inlineStr">
        <is>
          <t>S10</t>
        </is>
      </c>
      <c r="L4" s="13" t="inlineStr">
        <is>
          <t>S11</t>
        </is>
      </c>
      <c r="M4" s="13" t="inlineStr">
        <is>
          <t>S12</t>
        </is>
      </c>
      <c r="N4" s="13" t="inlineStr">
        <is>
          <t>S13</t>
        </is>
      </c>
      <c r="O4" s="13" t="inlineStr">
        <is>
          <t>Total</t>
        </is>
      </c>
    </row>
    <row r="5">
      <c r="A5" s="10" t="inlineStr">
        <is>
          <t>Começa em</t>
        </is>
      </c>
      <c r="B5" s="14">
        <f>'Configurar'!B5+0</f>
        <v/>
      </c>
      <c r="C5" s="14">
        <f>'Configurar'!B5+7</f>
        <v/>
      </c>
      <c r="D5" s="14">
        <f>'Configurar'!B5+14</f>
        <v/>
      </c>
      <c r="E5" s="14">
        <f>'Configurar'!B5+21</f>
        <v/>
      </c>
      <c r="F5" s="14">
        <f>'Configurar'!B5+28</f>
        <v/>
      </c>
      <c r="G5" s="14">
        <f>'Configurar'!B5+35</f>
        <v/>
      </c>
      <c r="H5" s="14">
        <f>'Configurar'!B5+42</f>
        <v/>
      </c>
      <c r="I5" s="14">
        <f>'Configurar'!B5+49</f>
        <v/>
      </c>
      <c r="J5" s="14">
        <f>'Configurar'!B5+56</f>
        <v/>
      </c>
      <c r="K5" s="14">
        <f>'Configurar'!B5+63</f>
        <v/>
      </c>
      <c r="L5" s="14">
        <f>'Configurar'!B5+70</f>
        <v/>
      </c>
      <c r="M5" s="14">
        <f>'Configurar'!B5+77</f>
        <v/>
      </c>
      <c r="N5" s="14">
        <f>'Configurar'!B5+84</f>
        <v/>
      </c>
    </row>
    <row r="6">
      <c r="A6" s="15" t="inlineStr">
        <is>
          <t>ENTRADAS</t>
        </is>
      </c>
    </row>
    <row r="7">
      <c r="A7" s="16" t="inlineStr">
        <is>
          <t>Vendas à vista / Pix</t>
        </is>
      </c>
      <c r="B7" s="17" t="n">
        <v>0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8">
        <f>SUM(B7:N7)</f>
        <v/>
      </c>
    </row>
    <row r="8">
      <c r="A8" s="16" t="inlineStr">
        <is>
          <t>Cartão (o que cai na conta)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8">
        <f>SUM(B8:N8)</f>
        <v/>
      </c>
    </row>
    <row r="9">
      <c r="A9" s="16" t="inlineStr">
        <is>
          <t>Boletos / duplicatas a receber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8">
        <f>SUM(B9:N9)</f>
        <v/>
      </c>
    </row>
    <row r="10">
      <c r="A10" s="16" t="inlineStr">
        <is>
          <t>Outras entradas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8">
        <f>SUM(B10:N10)</f>
        <v/>
      </c>
    </row>
    <row r="11">
      <c r="A11" s="10" t="inlineStr">
        <is>
          <t>Total de entradas</t>
        </is>
      </c>
      <c r="B11" s="18">
        <f>SUM(B7:B10)</f>
        <v/>
      </c>
      <c r="C11" s="18">
        <f>SUM(C7:C10)</f>
        <v/>
      </c>
      <c r="D11" s="18">
        <f>SUM(D7:D10)</f>
        <v/>
      </c>
      <c r="E11" s="18">
        <f>SUM(E7:E10)</f>
        <v/>
      </c>
      <c r="F11" s="18">
        <f>SUM(F7:F10)</f>
        <v/>
      </c>
      <c r="G11" s="18">
        <f>SUM(G7:G10)</f>
        <v/>
      </c>
      <c r="H11" s="18">
        <f>SUM(H7:H10)</f>
        <v/>
      </c>
      <c r="I11" s="18">
        <f>SUM(I7:I10)</f>
        <v/>
      </c>
      <c r="J11" s="18">
        <f>SUM(J7:J10)</f>
        <v/>
      </c>
      <c r="K11" s="18">
        <f>SUM(K7:K10)</f>
        <v/>
      </c>
      <c r="L11" s="18">
        <f>SUM(L7:L10)</f>
        <v/>
      </c>
      <c r="M11" s="18">
        <f>SUM(M7:M10)</f>
        <v/>
      </c>
      <c r="N11" s="18">
        <f>SUM(N7:N10)</f>
        <v/>
      </c>
      <c r="O11" s="18">
        <f>SUM(O7:O10)</f>
        <v/>
      </c>
    </row>
    <row r="12">
      <c r="A12" s="19" t="inlineStr">
        <is>
          <t>SAÍDAS</t>
        </is>
      </c>
    </row>
    <row r="13">
      <c r="A13" s="16" t="inlineStr">
        <is>
          <t>Fornecedores / mercadoria</t>
        </is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8">
        <f>SUM(B13:N13)</f>
        <v/>
      </c>
    </row>
    <row r="14">
      <c r="A14" s="16" t="inlineStr">
        <is>
          <t>Folha + encargos</t>
        </is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8">
        <f>SUM(B14:N14)</f>
        <v/>
      </c>
    </row>
    <row r="15">
      <c r="A15" s="16" t="inlineStr">
        <is>
          <t>Pró-labore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8">
        <f>SUM(B15:N15)</f>
        <v/>
      </c>
    </row>
    <row r="16">
      <c r="A16" s="16" t="inlineStr">
        <is>
          <t>Aluguel e condomínio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8">
        <f>SUM(B16:N16)</f>
        <v/>
      </c>
    </row>
    <row r="17">
      <c r="A17" s="16" t="inlineStr">
        <is>
          <t>Água, luz, internet, sistemas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8">
        <f>SUM(B17:N17)</f>
        <v/>
      </c>
    </row>
    <row r="18">
      <c r="A18" s="16" t="inlineStr">
        <is>
          <t>Impostos (DAS, guias)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8">
        <f>SUM(B18:N18)</f>
        <v/>
      </c>
    </row>
    <row r="19">
      <c r="A19" s="16" t="inlineStr">
        <is>
          <t>Parcelas de empréstimos</t>
        </is>
      </c>
      <c r="B19" s="17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8">
        <f>SUM(B19:N19)</f>
        <v/>
      </c>
    </row>
    <row r="20">
      <c r="A20" s="16" t="inlineStr">
        <is>
          <t>Marketing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8">
        <f>SUM(B20:N20)</f>
        <v/>
      </c>
    </row>
    <row r="21">
      <c r="A21" s="16" t="inlineStr">
        <is>
          <t>Outras saídas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8">
        <f>SUM(B21:N21)</f>
        <v/>
      </c>
    </row>
    <row r="22">
      <c r="A22" s="10" t="inlineStr">
        <is>
          <t>Total de saídas</t>
        </is>
      </c>
      <c r="B22" s="18">
        <f>SUM(B13:B21)</f>
        <v/>
      </c>
      <c r="C22" s="18">
        <f>SUM(C13:C21)</f>
        <v/>
      </c>
      <c r="D22" s="18">
        <f>SUM(D13:D21)</f>
        <v/>
      </c>
      <c r="E22" s="18">
        <f>SUM(E13:E21)</f>
        <v/>
      </c>
      <c r="F22" s="18">
        <f>SUM(F13:F21)</f>
        <v/>
      </c>
      <c r="G22" s="18">
        <f>SUM(G13:G21)</f>
        <v/>
      </c>
      <c r="H22" s="18">
        <f>SUM(H13:H21)</f>
        <v/>
      </c>
      <c r="I22" s="18">
        <f>SUM(I13:I21)</f>
        <v/>
      </c>
      <c r="J22" s="18">
        <f>SUM(J13:J21)</f>
        <v/>
      </c>
      <c r="K22" s="18">
        <f>SUM(K13:K21)</f>
        <v/>
      </c>
      <c r="L22" s="18">
        <f>SUM(L13:L21)</f>
        <v/>
      </c>
      <c r="M22" s="18">
        <f>SUM(M13:M21)</f>
        <v/>
      </c>
      <c r="N22" s="18">
        <f>SUM(N13:N21)</f>
        <v/>
      </c>
      <c r="O22" s="18">
        <f>SUM(O13:O21)</f>
        <v/>
      </c>
    </row>
    <row r="24">
      <c r="A24" s="10" t="inlineStr">
        <is>
          <t>Saldo inicial da semana</t>
        </is>
      </c>
      <c r="B24" s="18">
        <f>'Configurar'!B6</f>
        <v/>
      </c>
      <c r="C24" s="18">
        <f>B26</f>
        <v/>
      </c>
      <c r="D24" s="18">
        <f>C26</f>
        <v/>
      </c>
      <c r="E24" s="18">
        <f>D26</f>
        <v/>
      </c>
      <c r="F24" s="18">
        <f>E26</f>
        <v/>
      </c>
      <c r="G24" s="18">
        <f>F26</f>
        <v/>
      </c>
      <c r="H24" s="18">
        <f>G26</f>
        <v/>
      </c>
      <c r="I24" s="18">
        <f>H26</f>
        <v/>
      </c>
      <c r="J24" s="18">
        <f>I26</f>
        <v/>
      </c>
      <c r="K24" s="18">
        <f>J26</f>
        <v/>
      </c>
      <c r="L24" s="18">
        <f>K26</f>
        <v/>
      </c>
      <c r="M24" s="18">
        <f>L26</f>
        <v/>
      </c>
      <c r="N24" s="18">
        <f>M26</f>
        <v/>
      </c>
    </row>
    <row r="25">
      <c r="A25" s="10" t="inlineStr">
        <is>
          <t>Resultado da semana</t>
        </is>
      </c>
      <c r="B25" s="18">
        <f>B11-B22</f>
        <v/>
      </c>
      <c r="C25" s="18">
        <f>C11-C22</f>
        <v/>
      </c>
      <c r="D25" s="18">
        <f>D11-D22</f>
        <v/>
      </c>
      <c r="E25" s="18">
        <f>E11-E22</f>
        <v/>
      </c>
      <c r="F25" s="18">
        <f>F11-F22</f>
        <v/>
      </c>
      <c r="G25" s="18">
        <f>G11-G22</f>
        <v/>
      </c>
      <c r="H25" s="18">
        <f>H11-H22</f>
        <v/>
      </c>
      <c r="I25" s="18">
        <f>I11-I22</f>
        <v/>
      </c>
      <c r="J25" s="18">
        <f>J11-J22</f>
        <v/>
      </c>
      <c r="K25" s="18">
        <f>K11-K22</f>
        <v/>
      </c>
      <c r="L25" s="18">
        <f>L11-L22</f>
        <v/>
      </c>
      <c r="M25" s="18">
        <f>M11-M22</f>
        <v/>
      </c>
      <c r="N25" s="18">
        <f>N11-N22</f>
        <v/>
      </c>
    </row>
    <row r="26">
      <c r="A26" s="10" t="inlineStr">
        <is>
          <t>SALDO FINAL</t>
        </is>
      </c>
      <c r="B26" s="18">
        <f>B24+B25</f>
        <v/>
      </c>
      <c r="C26" s="18">
        <f>C24+C25</f>
        <v/>
      </c>
      <c r="D26" s="18">
        <f>D24+D25</f>
        <v/>
      </c>
      <c r="E26" s="18">
        <f>E24+E25</f>
        <v/>
      </c>
      <c r="F26" s="18">
        <f>F24+F25</f>
        <v/>
      </c>
      <c r="G26" s="18">
        <f>G24+G25</f>
        <v/>
      </c>
      <c r="H26" s="18">
        <f>H24+H25</f>
        <v/>
      </c>
      <c r="I26" s="18">
        <f>I24+I25</f>
        <v/>
      </c>
      <c r="J26" s="18">
        <f>J24+J25</f>
        <v/>
      </c>
      <c r="K26" s="18">
        <f>K24+K25</f>
        <v/>
      </c>
      <c r="L26" s="18">
        <f>L24+L25</f>
        <v/>
      </c>
      <c r="M26" s="18">
        <f>M24+M25</f>
        <v/>
      </c>
      <c r="N26" s="18">
        <f>N24+N25</f>
        <v/>
      </c>
    </row>
    <row r="27">
      <c r="A27" s="10" t="inlineStr">
        <is>
          <t>Acima da reserva mínima?</t>
        </is>
      </c>
      <c r="B27" s="8">
        <f>IF(B26&lt;0,"NEGATIVO",IF(B26&lt;'Configurar'!B7,"Abaixo","OK"))</f>
        <v/>
      </c>
      <c r="C27" s="8">
        <f>IF(C26&lt;0,"NEGATIVO",IF(C26&lt;'Configurar'!B7,"Abaixo","OK"))</f>
        <v/>
      </c>
      <c r="D27" s="8">
        <f>IF(D26&lt;0,"NEGATIVO",IF(D26&lt;'Configurar'!B7,"Abaixo","OK"))</f>
        <v/>
      </c>
      <c r="E27" s="8">
        <f>IF(E26&lt;0,"NEGATIVO",IF(E26&lt;'Configurar'!B7,"Abaixo","OK"))</f>
        <v/>
      </c>
      <c r="F27" s="8">
        <f>IF(F26&lt;0,"NEGATIVO",IF(F26&lt;'Configurar'!B7,"Abaixo","OK"))</f>
        <v/>
      </c>
      <c r="G27" s="8">
        <f>IF(G26&lt;0,"NEGATIVO",IF(G26&lt;'Configurar'!B7,"Abaixo","OK"))</f>
        <v/>
      </c>
      <c r="H27" s="8">
        <f>IF(H26&lt;0,"NEGATIVO",IF(H26&lt;'Configurar'!B7,"Abaixo","OK"))</f>
        <v/>
      </c>
      <c r="I27" s="8">
        <f>IF(I26&lt;0,"NEGATIVO",IF(I26&lt;'Configurar'!B7,"Abaixo","OK"))</f>
        <v/>
      </c>
      <c r="J27" s="8">
        <f>IF(J26&lt;0,"NEGATIVO",IF(J26&lt;'Configurar'!B7,"Abaixo","OK"))</f>
        <v/>
      </c>
      <c r="K27" s="8">
        <f>IF(K26&lt;0,"NEGATIVO",IF(K26&lt;'Configurar'!B7,"Abaixo","OK"))</f>
        <v/>
      </c>
      <c r="L27" s="8">
        <f>IF(L26&lt;0,"NEGATIVO",IF(L26&lt;'Configurar'!B7,"Abaixo","OK"))</f>
        <v/>
      </c>
      <c r="M27" s="8">
        <f>IF(M26&lt;0,"NEGATIVO",IF(M26&lt;'Configurar'!B7,"Abaixo","OK"))</f>
        <v/>
      </c>
      <c r="N27" s="8">
        <f>IF(N26&lt;0,"NEGATIVO",IF(N26&lt;'Configurar'!B7,"Abaixo","OK"))</f>
        <v/>
      </c>
    </row>
    <row r="29">
      <c r="A29" s="10" t="inlineStr">
        <is>
          <t>Menor saldo previsto</t>
        </is>
      </c>
      <c r="B29" s="18">
        <f>MIN(B26:N26)</f>
        <v/>
      </c>
    </row>
    <row r="30">
      <c r="A30" s="10" t="inlineStr">
        <is>
          <t>Primeira semana negativa</t>
        </is>
      </c>
      <c r="B30" s="20">
        <f>IFERROR("S"&amp;MATCH(TRUE,INDEX(B26:N26&lt;0,0),0),"Nenhuma")</f>
        <v/>
      </c>
    </row>
  </sheetData>
  <conditionalFormatting sqref="B26:N26">
    <cfRule type="cellIs" priority="1" operator="lessThan" dxfId="0">
      <formula>0</formula>
    </cfRule>
  </conditionalFormatting>
  <conditionalFormatting sqref="B27:N27">
    <cfRule type="cellIs" priority="2" operator="equal" dxfId="1">
      <formula>"NEGATIVO"</formula>
    </cfRule>
    <cfRule type="cellIs" priority="3" operator="equal" dxfId="2">
      <formula>"Abaixo"</formula>
    </cfRule>
    <cfRule type="cellIs" priority="4" operator="equal" dxfId="3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0" customHeight="1">
      <c r="A1" s="1" t="inlineStr">
        <is>
          <t>DRE simples · mês a mês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Regime de competência: o que foi vendido e gasto no mês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4">
      <c r="A4" s="13" t="inlineStr">
        <is>
          <t>Linha</t>
        </is>
      </c>
      <c r="B4" s="13" t="inlineStr">
        <is>
          <t>Jan</t>
        </is>
      </c>
      <c r="C4" s="13" t="inlineStr">
        <is>
          <t>Fev</t>
        </is>
      </c>
      <c r="D4" s="13" t="inlineStr">
        <is>
          <t>Mar</t>
        </is>
      </c>
      <c r="E4" s="13" t="inlineStr">
        <is>
          <t>Abr</t>
        </is>
      </c>
      <c r="F4" s="13" t="inlineStr">
        <is>
          <t>Mai</t>
        </is>
      </c>
      <c r="G4" s="13" t="inlineStr">
        <is>
          <t>Jun</t>
        </is>
      </c>
      <c r="H4" s="13" t="inlineStr">
        <is>
          <t>Jul</t>
        </is>
      </c>
      <c r="I4" s="13" t="inlineStr">
        <is>
          <t>Ago</t>
        </is>
      </c>
      <c r="J4" s="13" t="inlineStr">
        <is>
          <t>Set</t>
        </is>
      </c>
      <c r="K4" s="13" t="inlineStr">
        <is>
          <t>Out</t>
        </is>
      </c>
      <c r="L4" s="13" t="inlineStr">
        <is>
          <t>Nov</t>
        </is>
      </c>
      <c r="M4" s="13" t="inlineStr">
        <is>
          <t>Dez</t>
        </is>
      </c>
      <c r="N4" s="13" t="inlineStr">
        <is>
          <t>Ano</t>
        </is>
      </c>
    </row>
    <row r="5">
      <c r="A5" s="16" t="inlineStr">
        <is>
          <t>(+) Faturamento bruto</t>
        </is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8">
        <f>SUM(B5:M5)</f>
        <v/>
      </c>
    </row>
    <row r="6">
      <c r="A6" s="16" t="inlineStr">
        <is>
          <t>(−) Impostos sobre a venda</t>
        </is>
      </c>
      <c r="B6" s="17" t="n">
        <v>0</v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8">
        <f>SUM(B6:M6)</f>
        <v/>
      </c>
    </row>
    <row r="7">
      <c r="A7" s="10" t="inlineStr">
        <is>
          <t>(=) Receita líquida</t>
        </is>
      </c>
      <c r="B7" s="18">
        <f>B5-B6</f>
        <v/>
      </c>
      <c r="C7" s="18">
        <f>C5-C6</f>
        <v/>
      </c>
      <c r="D7" s="18">
        <f>D5-D6</f>
        <v/>
      </c>
      <c r="E7" s="18">
        <f>E5-E6</f>
        <v/>
      </c>
      <c r="F7" s="18">
        <f>F5-F6</f>
        <v/>
      </c>
      <c r="G7" s="18">
        <f>G5-G6</f>
        <v/>
      </c>
      <c r="H7" s="18">
        <f>H5-H6</f>
        <v/>
      </c>
      <c r="I7" s="18">
        <f>I5-I6</f>
        <v/>
      </c>
      <c r="J7" s="18">
        <f>J5-J6</f>
        <v/>
      </c>
      <c r="K7" s="18">
        <f>K5-K6</f>
        <v/>
      </c>
      <c r="L7" s="18">
        <f>L5-L6</f>
        <v/>
      </c>
      <c r="M7" s="18">
        <f>M5-M6</f>
        <v/>
      </c>
      <c r="N7" s="18">
        <f>SUM(B7:M7)</f>
        <v/>
      </c>
    </row>
    <row r="8">
      <c r="A8" s="16" t="inlineStr">
        <is>
          <t>(−) Custo da mercadoria / insumos / serviço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8">
        <f>SUM(B8:M8)</f>
        <v/>
      </c>
    </row>
    <row r="9">
      <c r="A9" s="16" t="inlineStr">
        <is>
          <t>(−) Taxas de cartão, comissões, fretes de venda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8">
        <f>SUM(B9:M9)</f>
        <v/>
      </c>
    </row>
    <row r="10">
      <c r="A10" s="10" t="inlineStr">
        <is>
          <t>(=) Margem de contribuição</t>
        </is>
      </c>
      <c r="B10" s="18">
        <f>B7-B8-B9</f>
        <v/>
      </c>
      <c r="C10" s="18">
        <f>C7-C8-C9</f>
        <v/>
      </c>
      <c r="D10" s="18">
        <f>D7-D8-D9</f>
        <v/>
      </c>
      <c r="E10" s="18">
        <f>E7-E8-E9</f>
        <v/>
      </c>
      <c r="F10" s="18">
        <f>F7-F8-F9</f>
        <v/>
      </c>
      <c r="G10" s="18">
        <f>G7-G8-G9</f>
        <v/>
      </c>
      <c r="H10" s="18">
        <f>H7-H8-H9</f>
        <v/>
      </c>
      <c r="I10" s="18">
        <f>I7-I8-I9</f>
        <v/>
      </c>
      <c r="J10" s="18">
        <f>J7-J8-J9</f>
        <v/>
      </c>
      <c r="K10" s="18">
        <f>K7-K8-K9</f>
        <v/>
      </c>
      <c r="L10" s="18">
        <f>L7-L8-L9</f>
        <v/>
      </c>
      <c r="M10" s="18">
        <f>M7-M8-M9</f>
        <v/>
      </c>
      <c r="N10" s="18">
        <f>SUM(B10:M10)</f>
        <v/>
      </c>
    </row>
    <row r="11">
      <c r="A11" s="16" t="inlineStr">
        <is>
          <t>Margem de contribuição %</t>
        </is>
      </c>
      <c r="B11" s="21">
        <f>IFERROR(B10/B5,0)</f>
        <v/>
      </c>
      <c r="C11" s="21">
        <f>IFERROR(C10/C5,0)</f>
        <v/>
      </c>
      <c r="D11" s="21">
        <f>IFERROR(D10/D5,0)</f>
        <v/>
      </c>
      <c r="E11" s="21">
        <f>IFERROR(E10/E5,0)</f>
        <v/>
      </c>
      <c r="F11" s="21">
        <f>IFERROR(F10/F5,0)</f>
        <v/>
      </c>
      <c r="G11" s="21">
        <f>IFERROR(G10/G5,0)</f>
        <v/>
      </c>
      <c r="H11" s="21">
        <f>IFERROR(H10/H5,0)</f>
        <v/>
      </c>
      <c r="I11" s="21">
        <f>IFERROR(I10/I5,0)</f>
        <v/>
      </c>
      <c r="J11" s="21">
        <f>IFERROR(J10/J5,0)</f>
        <v/>
      </c>
      <c r="K11" s="21">
        <f>IFERROR(K10/K5,0)</f>
        <v/>
      </c>
      <c r="L11" s="21">
        <f>IFERROR(L10/L5,0)</f>
        <v/>
      </c>
      <c r="M11" s="21">
        <f>IFERROR(M10/M5,0)</f>
        <v/>
      </c>
      <c r="N11" s="21">
        <f>IFERROR(N10/N5,0)</f>
        <v/>
      </c>
    </row>
    <row r="12">
      <c r="A12" s="16" t="inlineStr">
        <is>
          <t>(−) Folha + encargos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8">
        <f>SUM(B12:M12)</f>
        <v/>
      </c>
    </row>
    <row r="13">
      <c r="A13" s="16" t="inlineStr">
        <is>
          <t>(−) Pró-labore</t>
        </is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8">
        <f>SUM(B13:M13)</f>
        <v/>
      </c>
    </row>
    <row r="14">
      <c r="A14" s="16" t="inlineStr">
        <is>
          <t>(−) Aluguel, contas, sistemas</t>
        </is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8">
        <f>SUM(B14:M14)</f>
        <v/>
      </c>
    </row>
    <row r="15">
      <c r="A15" s="16" t="inlineStr">
        <is>
          <t>(−) Outras despesas fixas</t>
        </is>
      </c>
      <c r="B15" s="17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8">
        <f>SUM(B15:M15)</f>
        <v/>
      </c>
    </row>
    <row r="16">
      <c r="A16" s="10" t="inlineStr">
        <is>
          <t>(=) Total de despesas fixas</t>
        </is>
      </c>
      <c r="B16" s="18">
        <f>SUM(B12:B15)</f>
        <v/>
      </c>
      <c r="C16" s="18">
        <f>SUM(C12:C15)</f>
        <v/>
      </c>
      <c r="D16" s="18">
        <f>SUM(D12:D15)</f>
        <v/>
      </c>
      <c r="E16" s="18">
        <f>SUM(E12:E15)</f>
        <v/>
      </c>
      <c r="F16" s="18">
        <f>SUM(F12:F15)</f>
        <v/>
      </c>
      <c r="G16" s="18">
        <f>SUM(G12:G15)</f>
        <v/>
      </c>
      <c r="H16" s="18">
        <f>SUM(H12:H15)</f>
        <v/>
      </c>
      <c r="I16" s="18">
        <f>SUM(I12:I15)</f>
        <v/>
      </c>
      <c r="J16" s="18">
        <f>SUM(J12:J15)</f>
        <v/>
      </c>
      <c r="K16" s="18">
        <f>SUM(K12:K15)</f>
        <v/>
      </c>
      <c r="L16" s="18">
        <f>SUM(L12:L15)</f>
        <v/>
      </c>
      <c r="M16" s="18">
        <f>SUM(M12:M15)</f>
        <v/>
      </c>
      <c r="N16" s="18">
        <f>SUM(B16:M16)</f>
        <v/>
      </c>
    </row>
    <row r="17">
      <c r="A17" s="10" t="inlineStr">
        <is>
          <t>(=) Resultado operacional</t>
        </is>
      </c>
      <c r="B17" s="18">
        <f>B10-B16</f>
        <v/>
      </c>
      <c r="C17" s="18">
        <f>C10-C16</f>
        <v/>
      </c>
      <c r="D17" s="18">
        <f>D10-D16</f>
        <v/>
      </c>
      <c r="E17" s="18">
        <f>E10-E16</f>
        <v/>
      </c>
      <c r="F17" s="18">
        <f>F10-F16</f>
        <v/>
      </c>
      <c r="G17" s="18">
        <f>G10-G16</f>
        <v/>
      </c>
      <c r="H17" s="18">
        <f>H10-H16</f>
        <v/>
      </c>
      <c r="I17" s="18">
        <f>I10-I16</f>
        <v/>
      </c>
      <c r="J17" s="18">
        <f>J10-J16</f>
        <v/>
      </c>
      <c r="K17" s="18">
        <f>K10-K16</f>
        <v/>
      </c>
      <c r="L17" s="18">
        <f>L10-L16</f>
        <v/>
      </c>
      <c r="M17" s="18">
        <f>M10-M16</f>
        <v/>
      </c>
      <c r="N17" s="18">
        <f>SUM(B17:M17)</f>
        <v/>
      </c>
    </row>
    <row r="18">
      <c r="A18" s="16" t="inlineStr">
        <is>
          <t>(−) Juros e parcelas de empréstimos (juros)</t>
        </is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8">
        <f>SUM(B18:M18)</f>
        <v/>
      </c>
    </row>
    <row r="19">
      <c r="A19" s="10" t="inlineStr">
        <is>
          <t>(=) LUCRO LÍQUIDO</t>
        </is>
      </c>
      <c r="B19" s="18">
        <f>B17-B18</f>
        <v/>
      </c>
      <c r="C19" s="18">
        <f>C17-C18</f>
        <v/>
      </c>
      <c r="D19" s="18">
        <f>D17-D18</f>
        <v/>
      </c>
      <c r="E19" s="18">
        <f>E17-E18</f>
        <v/>
      </c>
      <c r="F19" s="18">
        <f>F17-F18</f>
        <v/>
      </c>
      <c r="G19" s="18">
        <f>G17-G18</f>
        <v/>
      </c>
      <c r="H19" s="18">
        <f>H17-H18</f>
        <v/>
      </c>
      <c r="I19" s="18">
        <f>I17-I18</f>
        <v/>
      </c>
      <c r="J19" s="18">
        <f>J17-J18</f>
        <v/>
      </c>
      <c r="K19" s="18">
        <f>K17-K18</f>
        <v/>
      </c>
      <c r="L19" s="18">
        <f>L17-L18</f>
        <v/>
      </c>
      <c r="M19" s="18">
        <f>M17-M18</f>
        <v/>
      </c>
      <c r="N19" s="18">
        <f>SUM(B19:M19)</f>
        <v/>
      </c>
    </row>
    <row r="20">
      <c r="A20" s="16" t="inlineStr">
        <is>
          <t>Lucro líquido %</t>
        </is>
      </c>
      <c r="B20" s="21">
        <f>IFERROR(B19/B5,0)</f>
        <v/>
      </c>
      <c r="C20" s="21">
        <f>IFERROR(C19/C5,0)</f>
        <v/>
      </c>
      <c r="D20" s="21">
        <f>IFERROR(D19/D5,0)</f>
        <v/>
      </c>
      <c r="E20" s="21">
        <f>IFERROR(E19/E5,0)</f>
        <v/>
      </c>
      <c r="F20" s="21">
        <f>IFERROR(F19/F5,0)</f>
        <v/>
      </c>
      <c r="G20" s="21">
        <f>IFERROR(G19/G5,0)</f>
        <v/>
      </c>
      <c r="H20" s="21">
        <f>IFERROR(H19/H5,0)</f>
        <v/>
      </c>
      <c r="I20" s="21">
        <f>IFERROR(I19/I5,0)</f>
        <v/>
      </c>
      <c r="J20" s="21">
        <f>IFERROR(J19/J5,0)</f>
        <v/>
      </c>
      <c r="K20" s="21">
        <f>IFERROR(K19/K5,0)</f>
        <v/>
      </c>
      <c r="L20" s="21">
        <f>IFERROR(L19/L5,0)</f>
        <v/>
      </c>
      <c r="M20" s="21">
        <f>IFERROR(M19/M5,0)</f>
        <v/>
      </c>
      <c r="N20" s="21">
        <f>IFERROR(N19/N5,0)</f>
        <v/>
      </c>
    </row>
    <row r="21">
      <c r="A21" s="10" t="inlineStr">
        <is>
          <t>Ponto de equilíbrio (faturamento)</t>
        </is>
      </c>
      <c r="B21" s="18">
        <f>IFERROR((B16+B18)/B11,0)</f>
        <v/>
      </c>
      <c r="C21" s="18">
        <f>IFERROR((C16+C18)/C11,0)</f>
        <v/>
      </c>
      <c r="D21" s="18">
        <f>IFERROR((D16+D18)/D11,0)</f>
        <v/>
      </c>
      <c r="E21" s="18">
        <f>IFERROR((E16+E18)/E11,0)</f>
        <v/>
      </c>
      <c r="F21" s="18">
        <f>IFERROR((F16+F18)/F11,0)</f>
        <v/>
      </c>
      <c r="G21" s="18">
        <f>IFERROR((G16+G18)/G11,0)</f>
        <v/>
      </c>
      <c r="H21" s="18">
        <f>IFERROR((H16+H18)/H11,0)</f>
        <v/>
      </c>
      <c r="I21" s="18">
        <f>IFERROR((I16+I18)/I11,0)</f>
        <v/>
      </c>
      <c r="J21" s="18">
        <f>IFERROR((J16+J18)/J11,0)</f>
        <v/>
      </c>
      <c r="K21" s="18">
        <f>IFERROR((K16+K18)/K11,0)</f>
        <v/>
      </c>
      <c r="L21" s="18">
        <f>IFERROR((L16+L18)/L11,0)</f>
        <v/>
      </c>
      <c r="M21" s="18">
        <f>IFERROR((M16+M18)/M11,0)</f>
        <v/>
      </c>
      <c r="N21" s="18">
        <f>IFERROR((N16+N18)/N11,0)</f>
        <v/>
      </c>
    </row>
  </sheetData>
  <conditionalFormatting sqref="B19:N19">
    <cfRule type="cellIs" priority="1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2026-10-28T09:53:09Z</dcterms:created>
  <dcterms:modified xmlns:dcterms="http://purl.org/dc/terms/" xmlns:xsi="http://www.w3.org/2001/XMLSchema-instance" xsi:type="dcterms:W3CDTF">2026-10-28T09:53:09Z</dcterms:modified>
</cp:coreProperties>
</file>