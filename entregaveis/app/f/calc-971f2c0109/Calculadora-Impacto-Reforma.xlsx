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1. Seus dados" sheetId="2" state="visible" r:id="rId2"/>
    <sheet xmlns:r="http://schemas.openxmlformats.org/officeDocument/2006/relationships" name="2. Alíquotas" sheetId="3" state="visible" r:id="rId3"/>
    <sheet xmlns:r="http://schemas.openxmlformats.org/officeDocument/2006/relationships" name="3. Resultado" sheetId="4" state="visible" r:id="rId4"/>
    <sheet xmlns:r="http://schemas.openxmlformats.org/officeDocument/2006/relationships" name="4. Simples x Híbrido" sheetId="5" state="visible" r:id="rId5"/>
  </sheets>
  <definedNames/>
  <calcPr calcId="124519" fullCalcOnLoad="1"/>
</workbook>
</file>

<file path=xl/styles.xml><?xml version="1.0" encoding="utf-8"?>
<styleSheet xmlns="http://schemas.openxmlformats.org/spreadsheetml/2006/main">
  <numFmts count="2">
    <numFmt numFmtId="164" formatCode="&quot;R$&quot; #,##0.00;[Red]-&quot;R$&quot; #,##0.00"/>
    <numFmt numFmtId="165" formatCode="0.0%"/>
  </numFmts>
  <fonts count="14">
    <font>
      <name val="Calibri"/>
      <family val="2"/>
      <color theme="1"/>
      <sz val="11"/>
      <scheme val="minor"/>
    </font>
    <font>
      <name val="Montserrat"/>
      <b val="1"/>
      <color rgb="00FFFFFF"/>
      <sz val="16"/>
    </font>
    <font>
      <name val="Inter"/>
      <color rgb="00FCC419"/>
      <sz val="10"/>
    </font>
    <font>
      <name val="Inter"/>
      <b val="1"/>
      <sz val="11"/>
    </font>
    <font>
      <name val="Inter"/>
      <sz val="11"/>
    </font>
    <font>
      <b val="1"/>
    </font>
    <font>
      <name val="Inter"/>
      <b val="1"/>
      <color rgb="000B1220"/>
    </font>
    <font>
      <name val="Inter"/>
    </font>
    <font>
      <i val="1"/>
      <color rgb="005B6576"/>
      <sz val="9"/>
    </font>
    <font>
      <name val="Inter"/>
      <b val="1"/>
      <color rgb="00FFFFFF"/>
    </font>
    <font>
      <color rgb="005B6576"/>
      <sz val="9"/>
    </font>
    <font>
      <name val="Inter"/>
      <b val="1"/>
    </font>
    <font>
      <i val="1"/>
      <sz val="9"/>
    </font>
    <font>
      <i val="1"/>
      <color rgb="00B91C1C"/>
    </font>
  </fonts>
  <fills count="6">
    <fill>
      <patternFill/>
    </fill>
    <fill>
      <patternFill patternType="gray125"/>
    </fill>
    <fill>
      <patternFill patternType="solid">
        <fgColor rgb="000B1220"/>
      </patternFill>
    </fill>
    <fill>
      <patternFill patternType="solid">
        <fgColor rgb="00FFF4CC"/>
      </patternFill>
    </fill>
    <fill>
      <patternFill patternType="solid">
        <fgColor rgb="00E8F7EE"/>
      </patternFill>
    </fill>
    <fill>
      <patternFill patternType="solid">
        <fgColor rgb="00F1F4F8"/>
      </patternFill>
    </fill>
  </fills>
  <borders count="2">
    <border>
      <left/>
      <right/>
      <top/>
      <bottom/>
      <diagonal/>
    </border>
    <border>
      <left style="thin">
        <color rgb="00D5DBE5"/>
      </left>
      <right style="thin">
        <color rgb="00D5DBE5"/>
      </right>
      <top style="thin">
        <color rgb="00D5DBE5"/>
      </top>
      <bottom style="thin">
        <color rgb="00D5DBE5"/>
      </bottom>
    </border>
  </borders>
  <cellStyleXfs count="1">
    <xf numFmtId="0" fontId="0" fillId="0" borderId="0"/>
  </cellStyleXfs>
  <cellXfs count="25">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pivotButton="0" quotePrefix="0" xfId="0"/>
    <xf numFmtId="0" fontId="6" fillId="3" borderId="1" pivotButton="0" quotePrefix="0" xfId="0"/>
    <xf numFmtId="0" fontId="7" fillId="4" borderId="1" pivotButton="0" quotePrefix="0" xfId="0"/>
    <xf numFmtId="0" fontId="8" fillId="0" borderId="0" pivotButton="0" quotePrefix="0" xfId="0"/>
    <xf numFmtId="0" fontId="9" fillId="2" borderId="1" applyAlignment="1" pivotButton="0" quotePrefix="0" xfId="0">
      <alignment vertical="center" wrapText="1"/>
    </xf>
    <xf numFmtId="0" fontId="7" fillId="0" borderId="1" applyAlignment="1" pivotButton="0" quotePrefix="0" xfId="0">
      <alignment vertical="center" wrapText="1"/>
    </xf>
    <xf numFmtId="164" fontId="6" fillId="3" borderId="1" pivotButton="0" quotePrefix="0" xfId="0"/>
    <xf numFmtId="0" fontId="10" fillId="0" borderId="0" applyAlignment="1" pivotButton="0" quotePrefix="0" xfId="0">
      <alignment wrapText="1"/>
    </xf>
    <xf numFmtId="165" fontId="6" fillId="3" borderId="1" pivotButton="0" quotePrefix="0" xfId="0"/>
    <xf numFmtId="10" fontId="6" fillId="3" borderId="1" pivotButton="0" quotePrefix="0" xfId="0"/>
    <xf numFmtId="0" fontId="11" fillId="0" borderId="1" applyAlignment="1" pivotButton="0" quotePrefix="0" xfId="0">
      <alignment vertical="center" wrapText="1"/>
    </xf>
    <xf numFmtId="0" fontId="10" fillId="0" borderId="0" pivotButton="0" quotePrefix="0" xfId="0"/>
    <xf numFmtId="10" fontId="11" fillId="4" borderId="1" pivotButton="0" quotePrefix="0" xfId="0"/>
    <xf numFmtId="0" fontId="12" fillId="0" borderId="0" pivotButton="0" quotePrefix="0" xfId="0"/>
    <xf numFmtId="164" fontId="11" fillId="4" borderId="1" pivotButton="0" quotePrefix="0" xfId="0"/>
    <xf numFmtId="0" fontId="0" fillId="0" borderId="0" applyAlignment="1" pivotButton="0" quotePrefix="0" xfId="0">
      <alignment wrapText="1"/>
    </xf>
    <xf numFmtId="0" fontId="13" fillId="0" borderId="0" pivotButton="0" quotePrefix="0" xfId="0"/>
    <xf numFmtId="165" fontId="11" fillId="4" borderId="1" pivotButton="0" quotePrefix="0" xfId="0"/>
    <xf numFmtId="0" fontId="0" fillId="5" borderId="0" applyAlignment="1" pivotButton="0" quotePrefix="0" xfId="0">
      <alignment wrapText="1"/>
    </xf>
  </cellXfs>
  <cellStyles count="1">
    <cellStyle name="Normal" xfId="0" builtinId="0" hidden="0"/>
  </cellStyles>
  <dxfs count="2">
    <dxf>
      <fill>
        <patternFill patternType="solid">
          <fgColor rgb="00FDE2E2"/>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Carga de impostos sobre o faturamento</a:t>
            </a:r>
          </a:p>
        </rich>
      </tx>
    </title>
    <plotArea>
      <barChart>
        <barDir val="col"/>
        <grouping val="clustered"/>
        <ser>
          <idx val="0"/>
          <order val="0"/>
          <tx>
            <strRef>
              <f>'3. Resultado'!G4</f>
            </strRef>
          </tx>
          <spPr>
            <a:ln xmlns:a="http://schemas.openxmlformats.org/drawingml/2006/main">
              <a:prstDash val="solid"/>
            </a:ln>
          </spPr>
          <cat>
            <numRef>
              <f>'3. Resultado'!$A$5:$A$13</f>
            </numRef>
          </cat>
          <val>
            <numRef>
              <f>'3. Resultado'!$G$5:$G$13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17</row>
      <rowOff>0</rowOff>
    </from>
    <ext cx="648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45" customWidth="1" min="1" max="1"/>
    <col width="45" customWidth="1" min="2" max="2"/>
    <col width="45" customWidth="1" min="3" max="3"/>
  </cols>
  <sheetData>
    <row r="1" ht="30" customHeight="1">
      <c r="A1" s="1" t="inlineStr">
        <is>
          <t>Calculadora de Impacto da Reforma</t>
        </is>
      </c>
      <c r="B1" s="2" t="n"/>
      <c r="C1" s="2" t="n"/>
    </row>
    <row r="2">
      <c r="A2" s="3" t="inlineStr">
        <is>
          <t>Kit Não Vire Estatística · Plano de Blindagem 2027–2030</t>
        </is>
      </c>
      <c r="B2" s="2" t="n"/>
      <c r="C2" s="2" t="n"/>
    </row>
    <row r="4" ht="18" customHeight="1">
      <c r="A4" s="4" t="inlineStr">
        <is>
          <t>Para que serve:</t>
        </is>
      </c>
    </row>
    <row r="5" ht="30" customHeight="1">
      <c r="A5" s="5" t="inlineStr">
        <is>
          <t>• Estimar quanto a troca de PIS/Cofins/ICMS/ISS por CBS/IBS muda o imposto, o lucro e o preço do seu negócio, ano a ano, de 2026 a 2033.</t>
        </is>
      </c>
    </row>
    <row r="6" ht="18" customHeight="1">
      <c r="A6" s="4" t="inlineStr">
        <is>
          <t>Como usar:</t>
        </is>
      </c>
    </row>
    <row r="7" ht="18" customHeight="1">
      <c r="A7" s="5" t="inlineStr">
        <is>
          <t>• Aba 1: preencha as células amarelas com números de um mês típico.</t>
        </is>
      </c>
    </row>
    <row r="8" ht="30" customHeight="1">
      <c r="A8" s="5" t="inlineStr">
        <is>
          <t>• Aba 2: as alíquotas são EDITÁVEIS. Quando o Senado fixar a alíquota oficial da CBS (até 15/12/2026), troque a célula B4. Tudo recalcula.</t>
        </is>
      </c>
    </row>
    <row r="9" ht="30" customHeight="1">
      <c r="A9" s="5" t="inlineStr">
        <is>
          <t>• Aba 3: veja a carga de impostos ano a ano e o reajuste de preço necessário para manter o lucro de hoje.</t>
        </is>
      </c>
    </row>
    <row r="10" ht="30" customHeight="1">
      <c r="A10" s="5" t="inlineStr">
        <is>
          <t>• Aba 4 (só Simples): compare ficar 'por dentro' x ir para o regime regular de IBS/CBS ('híbrido').</t>
        </is>
      </c>
    </row>
    <row r="11" ht="30" customHeight="1">
      <c r="A11" s="5" t="inlineStr">
        <is>
          <t>Funciona no Excel e no Google Planilhas (drive.google.com → Novo → Upload → Abrir com Planilhas Google).</t>
        </is>
      </c>
    </row>
    <row r="12" ht="45" customHeight="1">
      <c r="A12" s="5" t="inlineStr">
        <is>
          <t>Limites: não simula regimes específicos (combustíveis, financeiro, imóveis, cooperativas, ZFM), substituição tributária nem benefícios de ICMS. Considera que os fornecedores do regime regular repassam IBS/CBS no preço.</t>
        </is>
      </c>
    </row>
    <row r="14">
      <c r="A14" s="6" t="inlineStr">
        <is>
          <t>Legenda:</t>
        </is>
      </c>
    </row>
    <row r="15">
      <c r="A15" s="7" t="inlineStr">
        <is>
          <t>Célula amarela = você preenche</t>
        </is>
      </c>
    </row>
    <row r="16">
      <c r="A16" s="8" t="inlineStr">
        <is>
          <t>Célula verde = calculada (não apague)</t>
        </is>
      </c>
    </row>
    <row r="18">
      <c r="A18" s="9" t="inlineStr">
        <is>
          <t>Conteúdo educativo; não substitui contador. Alíquotas de 2027+ são estimativas não oficiais (dados de 28/10/2026).</t>
        </is>
      </c>
    </row>
  </sheetData>
  <mergeCells count="9">
    <mergeCell ref="A10:C10"/>
    <mergeCell ref="A11:C11"/>
    <mergeCell ref="A5:C5"/>
    <mergeCell ref="A8:C8"/>
    <mergeCell ref="A6:C6"/>
    <mergeCell ref="A9:C9"/>
    <mergeCell ref="A7:C7"/>
    <mergeCell ref="A12:C12"/>
    <mergeCell ref="A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showGridLines="0" workbookViewId="0">
      <selection activeCell="A1" sqref="A1"/>
    </sheetView>
  </sheetViews>
  <sheetFormatPr baseColWidth="8" defaultRowHeight="15"/>
  <cols>
    <col width="58" customWidth="1" min="1" max="1"/>
    <col width="20" customWidth="1" min="2" max="2"/>
    <col width="70" customWidth="1" min="3" max="3"/>
  </cols>
  <sheetData>
    <row r="1" ht="30" customHeight="1">
      <c r="A1" s="1" t="inlineStr">
        <is>
          <t>1. Seus dados</t>
        </is>
      </c>
      <c r="B1" s="2" t="n"/>
      <c r="C1" s="2" t="n"/>
    </row>
    <row r="2">
      <c r="A2" s="3" t="inlineStr">
        <is>
          <t>Preencha as células amarelas com valores de um MÊS típico</t>
        </is>
      </c>
      <c r="B2" s="2" t="n"/>
      <c r="C2" s="2" t="n"/>
    </row>
    <row r="4">
      <c r="A4" s="10" t="inlineStr">
        <is>
          <t>Item</t>
        </is>
      </c>
      <c r="B4" s="10" t="inlineStr">
        <is>
          <t>Valor</t>
        </is>
      </c>
      <c r="C4" s="10" t="inlineStr">
        <is>
          <t>Ajuda</t>
        </is>
      </c>
    </row>
    <row r="5" ht="32" customHeight="1">
      <c r="A5" s="11" t="inlineStr">
        <is>
          <t>Faturamento bruto do mês</t>
        </is>
      </c>
      <c r="B5" s="12" t="n">
        <v>40000</v>
      </c>
      <c r="C5" s="13" t="inlineStr">
        <is>
          <t>Tudo o que vendeu no mês, com impostos.</t>
        </is>
      </c>
    </row>
    <row r="6" ht="32" customHeight="1">
      <c r="A6" s="11" t="inlineStr">
        <is>
          <t>Compras com nota fiscal no mês (mercadoria, insumos, serviços, energia, frete)</t>
        </is>
      </c>
      <c r="B6" s="12" t="n">
        <v>18000</v>
      </c>
      <c r="C6" s="13" t="inlineStr">
        <is>
          <t>Só compras com nota. Salário não entra.</t>
        </is>
      </c>
    </row>
    <row r="7" ht="32" customHeight="1">
      <c r="A7" s="11" t="inlineStr">
        <is>
          <t>% dessas compras de fornecedores do regime regular (Presumido/Real ou Simples híbrido)</t>
        </is>
      </c>
      <c r="B7" s="14" t="n">
        <v>0.6</v>
      </c>
      <c r="C7" s="13" t="inlineStr">
        <is>
          <t>Compra de MEI, Simples 'por dentro' ou pessoa física gera pouco ou nenhum crédito.</t>
        </is>
      </c>
    </row>
    <row r="8" ht="32" customHeight="1">
      <c r="A8" s="11" t="inlineStr">
        <is>
          <t>Folha + encargos + pró-labore do mês</t>
        </is>
      </c>
      <c r="B8" s="12" t="n">
        <v>9000</v>
      </c>
      <c r="C8" s="13" t="inlineStr">
        <is>
          <t>Não gera crédito de IBS/CBS.</t>
        </is>
      </c>
    </row>
    <row r="9" ht="32" customHeight="1">
      <c r="A9" s="11" t="inlineStr">
        <is>
          <t>Outras despesas sem nota/sem crédito (aluguel PF, tarifas, etc.)</t>
        </is>
      </c>
      <c r="B9" s="12" t="n">
        <v>4000</v>
      </c>
      <c r="C9" s="13" t="inlineStr"/>
    </row>
    <row r="10" ht="32" customHeight="1">
      <c r="A10" s="11" t="inlineStr">
        <is>
          <t>Regime tributário atual</t>
        </is>
      </c>
      <c r="B10" s="7" t="inlineStr">
        <is>
          <t>Lucro Presumido</t>
        </is>
      </c>
      <c r="C10" s="13" t="inlineStr">
        <is>
          <t>Lista: MEI, Simples Nacional, Lucro Presumido, Lucro Real</t>
        </is>
      </c>
    </row>
    <row r="11" ht="32" customHeight="1">
      <c r="A11" s="11" t="inlineStr">
        <is>
          <t>Impostos sobre a venda HOJE (soma, % do faturamento)</t>
        </is>
      </c>
      <c r="B11" s="15" t="n">
        <v>0.1165</v>
      </c>
      <c r="C11" s="13" t="inlineStr">
        <is>
          <t>Presumido: PIS/Cofins 3,65% + ICMS/ISS efetivo. Simples: alíquota efetiva do DAS. Pergunte ao contador.</t>
        </is>
      </c>
    </row>
    <row r="12" ht="32" customHeight="1">
      <c r="A12" s="11" t="inlineStr">
        <is>
          <t>Desses, quanto é PIS/Cofins (% do faturamento)</t>
        </is>
      </c>
      <c r="B12" s="15" t="n">
        <v>0.0365</v>
      </c>
      <c r="C12" s="13" t="inlineStr">
        <is>
          <t>Presumido 3,65%; Real até 9,25%; Simples: parte de PIS/Cofins do DAS.</t>
        </is>
      </c>
    </row>
    <row r="13" ht="32" customHeight="1">
      <c r="A13" s="11" t="inlineStr">
        <is>
          <t>Crédito de PIS/Cofins que você aproveita hoje (% das compras)</t>
        </is>
      </c>
      <c r="B13" s="15" t="n">
        <v>0</v>
      </c>
      <c r="C13" s="13" t="inlineStr">
        <is>
          <t>Presumido: 0. Real: em geral 9,25%.</t>
        </is>
      </c>
    </row>
    <row r="14" ht="32" customHeight="1">
      <c r="A14" s="11" t="inlineStr">
        <is>
          <t>Crédito de ICMS que você aproveita hoje (% das compras)</t>
        </is>
      </c>
      <c r="B14" s="15" t="n">
        <v>0</v>
      </c>
      <c r="C14" s="13" t="inlineStr">
        <is>
          <t>Comércio/indústria no regime normal de ICMS. Serviços e Simples: 0.</t>
        </is>
      </c>
    </row>
    <row r="15" ht="32" customHeight="1">
      <c r="A15" s="11" t="inlineStr">
        <is>
          <t>Redução de alíquota do seu item principal</t>
        </is>
      </c>
      <c r="B15" s="14" t="n">
        <v>0</v>
      </c>
      <c r="C15" s="13" t="inlineStr">
        <is>
          <t>0% (cheia), 30% (profissões regulamentadas), 60% (saúde, educação, alimentos listados) ou 100% (alíquota zero).</t>
        </is>
      </c>
    </row>
    <row r="16" ht="32" customHeight="1">
      <c r="A16" s="11" t="inlineStr">
        <is>
          <t>% das vendas para outras empresas</t>
        </is>
      </c>
      <c r="B16" s="14" t="n">
        <v>0.3</v>
      </c>
      <c r="C16" s="13" t="inlineStr">
        <is>
          <t>Usado na aba 4.</t>
        </is>
      </c>
    </row>
  </sheetData>
  <dataValidations count="2">
    <dataValidation sqref="B10" showDropDown="0" showInputMessage="0" showErrorMessage="0" allowBlank="0" type="list">
      <formula1>"MEI,Simples Nacional,Lucro Presumido,Lucro Real"</formula1>
    </dataValidation>
    <dataValidation sqref="B15" showDropDown="0" showInputMessage="0" showErrorMessage="0" allowBlank="0" type="list">
      <formula1>"0,0.3,0.6,1"</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42" customWidth="1" min="1" max="1"/>
    <col width="14" customWidth="1" min="2" max="2"/>
    <col width="14" customWidth="1" min="3" max="3"/>
    <col width="22" customWidth="1" min="4" max="4"/>
    <col width="22" customWidth="1" min="5" max="5"/>
    <col width="70" customWidth="1" min="6" max="6"/>
  </cols>
  <sheetData>
    <row r="1" ht="30" customHeight="1">
      <c r="A1" s="1" t="inlineStr">
        <is>
          <t>2. Alíquotas (EDITÁVEIS)</t>
        </is>
      </c>
      <c r="B1" s="2" t="n"/>
      <c r="C1" s="2" t="n"/>
      <c r="D1" s="2" t="n"/>
      <c r="E1" s="2" t="n"/>
      <c r="F1" s="2" t="n"/>
    </row>
    <row r="2">
      <c r="A2" s="3" t="inlineStr">
        <is>
          <t>Estimativas não oficiais em 28/10/2026 · troque quando sair a alíquota oficial</t>
        </is>
      </c>
      <c r="B2" s="2" t="n"/>
      <c r="C2" s="2" t="n"/>
      <c r="D2" s="2" t="n"/>
      <c r="E2" s="2" t="n"/>
      <c r="F2" s="2" t="n"/>
    </row>
    <row r="4">
      <c r="A4" s="16" t="inlineStr">
        <is>
          <t>CBS (alíquota de referência)</t>
        </is>
      </c>
      <c r="B4" s="15" t="n">
        <v>0.0921</v>
      </c>
      <c r="C4" s="17" t="inlineStr">
        <is>
          <t>Estimativa não oficial do Comitê Gestor. Oficial: Senado fixa até 15/12/2026.</t>
        </is>
      </c>
    </row>
    <row r="5">
      <c r="A5" s="16" t="inlineStr">
        <is>
          <t>IBS no modelo final (estados + municípios)</t>
        </is>
      </c>
      <c r="B5" s="15" t="n">
        <v>0.187</v>
      </c>
      <c r="C5" s="17" t="inlineStr">
        <is>
          <t>Estimativa não oficial. Total estimado 27,91%; teto de referência da lei: 26,5% em 2033, com ajuste.</t>
        </is>
      </c>
    </row>
    <row r="6">
      <c r="A6" s="16" t="inlineStr">
        <is>
          <t>Alíquota total no modelo final</t>
        </is>
      </c>
      <c r="B6" s="18">
        <f>B4+B5</f>
        <v/>
      </c>
    </row>
    <row r="8">
      <c r="A8" s="10" t="inlineStr">
        <is>
          <t>Ano</t>
        </is>
      </c>
      <c r="B8" s="10" t="inlineStr">
        <is>
          <t>CBS</t>
        </is>
      </c>
      <c r="C8" s="10" t="inlineStr">
        <is>
          <t>IBS</t>
        </is>
      </c>
      <c r="D8" s="10" t="inlineStr">
        <is>
          <t>PIS/Cofins que ainda existe</t>
        </is>
      </c>
      <c r="E8" s="10" t="inlineStr">
        <is>
          <t>ICMS/ISS que ainda existe</t>
        </is>
      </c>
      <c r="F8" s="10" t="inlineStr">
        <is>
          <t>Observação</t>
        </is>
      </c>
    </row>
    <row r="9">
      <c r="A9" s="16" t="n">
        <v>2026</v>
      </c>
      <c r="B9" s="15" t="n">
        <v>0</v>
      </c>
      <c r="C9" s="15" t="n">
        <v>0</v>
      </c>
      <c r="D9" s="15" t="n">
        <v>1</v>
      </c>
      <c r="E9" s="15" t="n">
        <v>1</v>
      </c>
      <c r="F9" s="17" t="inlineStr">
        <is>
          <t>Ano de teste: CBS 0,9% e IBS 0,1% só destacados (compensáveis). Mantido 0 aqui.</t>
        </is>
      </c>
    </row>
    <row r="10">
      <c r="A10" s="16" t="n">
        <v>2027</v>
      </c>
      <c r="B10" s="15">
        <f>B4</f>
        <v/>
      </c>
      <c r="C10" s="15" t="n">
        <v>0.001</v>
      </c>
      <c r="D10" s="15" t="n">
        <v>0</v>
      </c>
      <c r="E10" s="15" t="n">
        <v>1</v>
      </c>
      <c r="F10" s="17" t="inlineStr">
        <is>
          <t>CBS substitui PIS/Cofins. IBS 0,1%. IPI zera (exceto ZFM).</t>
        </is>
      </c>
    </row>
    <row r="11">
      <c r="A11" s="16" t="n">
        <v>2028</v>
      </c>
      <c r="B11" s="15">
        <f>B4</f>
        <v/>
      </c>
      <c r="C11" s="15" t="n">
        <v>0.001</v>
      </c>
      <c r="D11" s="15" t="n">
        <v>0</v>
      </c>
      <c r="E11" s="15" t="n">
        <v>1</v>
      </c>
      <c r="F11" s="17" t="inlineStr">
        <is>
          <t>Igual a 2027.</t>
        </is>
      </c>
    </row>
    <row r="12">
      <c r="A12" s="16" t="n">
        <v>2029</v>
      </c>
      <c r="B12" s="15">
        <f>B4</f>
        <v/>
      </c>
      <c r="C12" s="15">
        <f>B5*0.1</f>
        <v/>
      </c>
      <c r="D12" s="15" t="n">
        <v>0</v>
      </c>
      <c r="E12" s="15" t="n">
        <v>0.9</v>
      </c>
      <c r="F12" s="17" t="inlineStr">
        <is>
          <t>ICMS/ISS a 90%.</t>
        </is>
      </c>
    </row>
    <row r="13">
      <c r="A13" s="16" t="n">
        <v>2030</v>
      </c>
      <c r="B13" s="15">
        <f>B4</f>
        <v/>
      </c>
      <c r="C13" s="15">
        <f>B5*0.2</f>
        <v/>
      </c>
      <c r="D13" s="15" t="n">
        <v>0</v>
      </c>
      <c r="E13" s="15" t="n">
        <v>0.8</v>
      </c>
      <c r="F13" s="17" t="inlineStr">
        <is>
          <t>ICMS/ISS a 80%.</t>
        </is>
      </c>
    </row>
    <row r="14">
      <c r="A14" s="16" t="n">
        <v>2031</v>
      </c>
      <c r="B14" s="15">
        <f>B4</f>
        <v/>
      </c>
      <c r="C14" s="15">
        <f>B5*0.3</f>
        <v/>
      </c>
      <c r="D14" s="15" t="n">
        <v>0</v>
      </c>
      <c r="E14" s="15" t="n">
        <v>0.7</v>
      </c>
      <c r="F14" s="17" t="inlineStr">
        <is>
          <t>ICMS/ISS a 70%.</t>
        </is>
      </c>
    </row>
    <row r="15">
      <c r="A15" s="16" t="n">
        <v>2032</v>
      </c>
      <c r="B15" s="15">
        <f>B4</f>
        <v/>
      </c>
      <c r="C15" s="15">
        <f>B5*0.4</f>
        <v/>
      </c>
      <c r="D15" s="15" t="n">
        <v>0</v>
      </c>
      <c r="E15" s="15" t="n">
        <v>0.6</v>
      </c>
      <c r="F15" s="17" t="inlineStr">
        <is>
          <t>ICMS/ISS a 60%.</t>
        </is>
      </c>
    </row>
    <row r="16">
      <c r="A16" s="16" t="n">
        <v>2033</v>
      </c>
      <c r="B16" s="15">
        <f>B4</f>
        <v/>
      </c>
      <c r="C16" s="15">
        <f>B5</f>
        <v/>
      </c>
      <c r="D16" s="15" t="n">
        <v>0</v>
      </c>
      <c r="E16" s="15" t="n">
        <v>0</v>
      </c>
      <c r="F16" s="17" t="inlineStr">
        <is>
          <t>Modelo completo.</t>
        </is>
      </c>
    </row>
    <row r="18">
      <c r="A18" s="19" t="inlineStr">
        <is>
          <t>Proporção de IBS de 2029 a 2032: aproximação didática (10%, 20%, 30%, 40% do IBS final). A proporção exata depende da regulamentação. Edite se o seu contador indicar outro valor.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10" customWidth="1" min="1" max="1"/>
    <col width="14" customWidth="1" min="2" max="2"/>
    <col width="17" customWidth="1" min="3" max="3"/>
    <col width="17" customWidth="1" min="4" max="4"/>
    <col width="15" customWidth="1" min="5" max="5"/>
    <col width="16" customWidth="1" min="6" max="6"/>
    <col width="14" customWidth="1" min="7" max="7"/>
    <col width="13" customWidth="1" min="8" max="8"/>
    <col width="18" customWidth="1" min="9" max="9"/>
    <col width="18" customWidth="1" min="10" max="10"/>
  </cols>
  <sheetData>
    <row r="1" ht="30" customHeight="1">
      <c r="A1" s="1" t="inlineStr">
        <is>
          <t>3. Resultado ano a ano</t>
        </is>
      </c>
      <c r="B1" s="2" t="n"/>
      <c r="C1" s="2" t="n"/>
      <c r="D1" s="2" t="n"/>
      <c r="E1" s="2" t="n"/>
      <c r="F1" s="2" t="n"/>
      <c r="G1" s="2" t="n"/>
      <c r="H1" s="2" t="n"/>
      <c r="I1" s="2" t="n"/>
      <c r="J1" s="2" t="n"/>
    </row>
    <row r="2">
      <c r="A2" s="3" t="inlineStr">
        <is>
          <t>Regime regular de IBS/CBS (Presumido/Real ou Simples híbrido). Simples 'por dentro': veja a aba 4.</t>
        </is>
      </c>
      <c r="B2" s="2" t="n"/>
      <c r="C2" s="2" t="n"/>
      <c r="D2" s="2" t="n"/>
      <c r="E2" s="2" t="n"/>
      <c r="F2" s="2" t="n"/>
      <c r="G2" s="2" t="n"/>
      <c r="H2" s="2" t="n"/>
      <c r="I2" s="2" t="n"/>
      <c r="J2" s="2" t="n"/>
    </row>
    <row r="4" ht="45" customHeight="1">
      <c r="A4" s="10" t="inlineStr">
        <is>
          <t>Ano</t>
        </is>
      </c>
      <c r="B4" s="10" t="inlineStr">
        <is>
          <t>Alíquota IBS+CBS efetiva</t>
        </is>
      </c>
      <c r="C4" s="10" t="inlineStr">
        <is>
          <t>Débito IBS/CBS (por fora)</t>
        </is>
      </c>
      <c r="D4" s="10" t="inlineStr">
        <is>
          <t>PIS/Cofins + ICMS/ISS</t>
        </is>
      </c>
      <c r="E4" s="10" t="inlineStr">
        <is>
          <t>(−) Créditos</t>
        </is>
      </c>
      <c r="F4" s="10" t="inlineStr">
        <is>
          <t>Imposto líquido</t>
        </is>
      </c>
      <c r="G4" s="10" t="inlineStr">
        <is>
          <t>Carga sobre o faturamento</t>
        </is>
      </c>
      <c r="H4" s="10" t="inlineStr">
        <is>
          <t>Variação x hoje</t>
        </is>
      </c>
      <c r="I4" s="10" t="inlineStr">
        <is>
          <t>Lucro do mês (mesmo preço)</t>
        </is>
      </c>
      <c r="J4" s="10" t="inlineStr">
        <is>
          <t>Reajuste de preço p/ manter o lucro</t>
        </is>
      </c>
    </row>
    <row r="5">
      <c r="A5" s="16" t="inlineStr">
        <is>
          <t>Hoje</t>
        </is>
      </c>
      <c r="B5" s="18" t="n">
        <v>0</v>
      </c>
      <c r="C5" s="20" t="n">
        <v>0</v>
      </c>
      <c r="D5" s="20">
        <f>'1. Seus dados'!B5*'1. Seus dados'!B11</f>
        <v/>
      </c>
      <c r="E5" s="20">
        <f>'1. Seus dados'!B6*('1. Seus dados'!B13+'1. Seus dados'!B14)*'1. Seus dados'!B7</f>
        <v/>
      </c>
      <c r="F5" s="20">
        <f>C5+D5-E5</f>
        <v/>
      </c>
      <c r="G5" s="18">
        <f>F5/'1. Seus dados'!B5</f>
        <v/>
      </c>
      <c r="H5" s="18">
        <f>0</f>
        <v/>
      </c>
      <c r="I5" s="20">
        <f>'1. Seus dados'!B5-F5-'1. Seus dados'!B6-'1. Seus dados'!B8-'1. Seus dados'!B9</f>
        <v/>
      </c>
      <c r="J5" s="18" t="n">
        <v>0</v>
      </c>
    </row>
    <row r="6">
      <c r="A6" s="16">
        <f>'2. Alíquotas'!A9</f>
        <v/>
      </c>
      <c r="B6" s="18">
        <f>('2. Alíquotas'!B9+'2. Alíquotas'!C9)*(1-'1. Seus dados'!B15)</f>
        <v/>
      </c>
      <c r="C6" s="20">
        <f>'1. Seus dados'!B5/(1+B6)*B6</f>
        <v/>
      </c>
      <c r="D6" s="20">
        <f>'1. Seus dados'!B5*('1. Seus dados'!B12*'2. Alíquotas'!D9+('1. Seus dados'!B11-'1. Seus dados'!B12)*'2. Alíquotas'!E9)</f>
        <v/>
      </c>
      <c r="E6" s="20">
        <f>'1. Seus dados'!B6*'1. Seus dados'!B7*(('2. Alíquotas'!B9+'2. Alíquotas'!C9)/(1+'2. Alíquotas'!B9+'2. Alíquotas'!C9)+'1. Seus dados'!B13*'2. Alíquotas'!D9+'1. Seus dados'!B14*'2. Alíquotas'!E9)</f>
        <v/>
      </c>
      <c r="F6" s="20">
        <f>MAX(0,C6+D6-E6)</f>
        <v/>
      </c>
      <c r="G6" s="18">
        <f>F6/'1. Seus dados'!B5</f>
        <v/>
      </c>
      <c r="H6" s="18">
        <f>G6-$G$5</f>
        <v/>
      </c>
      <c r="I6" s="20">
        <f>'1. Seus dados'!B5-F6-'1. Seus dados'!B6-'1. Seus dados'!B8-'1. Seus dados'!B9</f>
        <v/>
      </c>
      <c r="J6" s="18">
        <f>IFERROR(($I$5-I6)/(1/(1+B6)-('1. Seus dados'!B11-'1. Seus dados'!B12)*'2. Alíquotas'!E9)/'1. Seus dados'!B5,0)</f>
        <v/>
      </c>
    </row>
    <row r="7">
      <c r="A7" s="16">
        <f>'2. Alíquotas'!A10</f>
        <v/>
      </c>
      <c r="B7" s="18">
        <f>('2. Alíquotas'!B10+'2. Alíquotas'!C10)*(1-'1. Seus dados'!B15)</f>
        <v/>
      </c>
      <c r="C7" s="20">
        <f>'1. Seus dados'!B5/(1+B7)*B7</f>
        <v/>
      </c>
      <c r="D7" s="20">
        <f>'1. Seus dados'!B5*('1. Seus dados'!B12*'2. Alíquotas'!D10+('1. Seus dados'!B11-'1. Seus dados'!B12)*'2. Alíquotas'!E10)</f>
        <v/>
      </c>
      <c r="E7" s="20">
        <f>'1. Seus dados'!B6*'1. Seus dados'!B7*(('2. Alíquotas'!B10+'2. Alíquotas'!C10)/(1+'2. Alíquotas'!B10+'2. Alíquotas'!C10)+'1. Seus dados'!B13*'2. Alíquotas'!D10+'1. Seus dados'!B14*'2. Alíquotas'!E10)</f>
        <v/>
      </c>
      <c r="F7" s="20">
        <f>MAX(0,C7+D7-E7)</f>
        <v/>
      </c>
      <c r="G7" s="18">
        <f>F7/'1. Seus dados'!B5</f>
        <v/>
      </c>
      <c r="H7" s="18">
        <f>G7-$G$5</f>
        <v/>
      </c>
      <c r="I7" s="20">
        <f>'1. Seus dados'!B5-F7-'1. Seus dados'!B6-'1. Seus dados'!B8-'1. Seus dados'!B9</f>
        <v/>
      </c>
      <c r="J7" s="18">
        <f>IFERROR(($I$5-I7)/(1/(1+B7)-('1. Seus dados'!B11-'1. Seus dados'!B12)*'2. Alíquotas'!E10)/'1. Seus dados'!B5,0)</f>
        <v/>
      </c>
    </row>
    <row r="8">
      <c r="A8" s="16">
        <f>'2. Alíquotas'!A11</f>
        <v/>
      </c>
      <c r="B8" s="18">
        <f>('2. Alíquotas'!B11+'2. Alíquotas'!C11)*(1-'1. Seus dados'!B15)</f>
        <v/>
      </c>
      <c r="C8" s="20">
        <f>'1. Seus dados'!B5/(1+B8)*B8</f>
        <v/>
      </c>
      <c r="D8" s="20">
        <f>'1. Seus dados'!B5*('1. Seus dados'!B12*'2. Alíquotas'!D11+('1. Seus dados'!B11-'1. Seus dados'!B12)*'2. Alíquotas'!E11)</f>
        <v/>
      </c>
      <c r="E8" s="20">
        <f>'1. Seus dados'!B6*'1. Seus dados'!B7*(('2. Alíquotas'!B11+'2. Alíquotas'!C11)/(1+'2. Alíquotas'!B11+'2. Alíquotas'!C11)+'1. Seus dados'!B13*'2. Alíquotas'!D11+'1. Seus dados'!B14*'2. Alíquotas'!E11)</f>
        <v/>
      </c>
      <c r="F8" s="20">
        <f>MAX(0,C8+D8-E8)</f>
        <v/>
      </c>
      <c r="G8" s="18">
        <f>F8/'1. Seus dados'!B5</f>
        <v/>
      </c>
      <c r="H8" s="18">
        <f>G8-$G$5</f>
        <v/>
      </c>
      <c r="I8" s="20">
        <f>'1. Seus dados'!B5-F8-'1. Seus dados'!B6-'1. Seus dados'!B8-'1. Seus dados'!B9</f>
        <v/>
      </c>
      <c r="J8" s="18">
        <f>IFERROR(($I$5-I8)/(1/(1+B8)-('1. Seus dados'!B11-'1. Seus dados'!B12)*'2. Alíquotas'!E11)/'1. Seus dados'!B5,0)</f>
        <v/>
      </c>
    </row>
    <row r="9">
      <c r="A9" s="16">
        <f>'2. Alíquotas'!A12</f>
        <v/>
      </c>
      <c r="B9" s="18">
        <f>('2. Alíquotas'!B12+'2. Alíquotas'!C12)*(1-'1. Seus dados'!B15)</f>
        <v/>
      </c>
      <c r="C9" s="20">
        <f>'1. Seus dados'!B5/(1+B9)*B9</f>
        <v/>
      </c>
      <c r="D9" s="20">
        <f>'1. Seus dados'!B5*('1. Seus dados'!B12*'2. Alíquotas'!D12+('1. Seus dados'!B11-'1. Seus dados'!B12)*'2. Alíquotas'!E12)</f>
        <v/>
      </c>
      <c r="E9" s="20">
        <f>'1. Seus dados'!B6*'1. Seus dados'!B7*(('2. Alíquotas'!B12+'2. Alíquotas'!C12)/(1+'2. Alíquotas'!B12+'2. Alíquotas'!C12)+'1. Seus dados'!B13*'2. Alíquotas'!D12+'1. Seus dados'!B14*'2. Alíquotas'!E12)</f>
        <v/>
      </c>
      <c r="F9" s="20">
        <f>MAX(0,C9+D9-E9)</f>
        <v/>
      </c>
      <c r="G9" s="18">
        <f>F9/'1. Seus dados'!B5</f>
        <v/>
      </c>
      <c r="H9" s="18">
        <f>G9-$G$5</f>
        <v/>
      </c>
      <c r="I9" s="20">
        <f>'1. Seus dados'!B5-F9-'1. Seus dados'!B6-'1. Seus dados'!B8-'1. Seus dados'!B9</f>
        <v/>
      </c>
      <c r="J9" s="18">
        <f>IFERROR(($I$5-I9)/(1/(1+B9)-('1. Seus dados'!B11-'1. Seus dados'!B12)*'2. Alíquotas'!E12)/'1. Seus dados'!B5,0)</f>
        <v/>
      </c>
    </row>
    <row r="10">
      <c r="A10" s="16">
        <f>'2. Alíquotas'!A13</f>
        <v/>
      </c>
      <c r="B10" s="18">
        <f>('2. Alíquotas'!B13+'2. Alíquotas'!C13)*(1-'1. Seus dados'!B15)</f>
        <v/>
      </c>
      <c r="C10" s="20">
        <f>'1. Seus dados'!B5/(1+B10)*B10</f>
        <v/>
      </c>
      <c r="D10" s="20">
        <f>'1. Seus dados'!B5*('1. Seus dados'!B12*'2. Alíquotas'!D13+('1. Seus dados'!B11-'1. Seus dados'!B12)*'2. Alíquotas'!E13)</f>
        <v/>
      </c>
      <c r="E10" s="20">
        <f>'1. Seus dados'!B6*'1. Seus dados'!B7*(('2. Alíquotas'!B13+'2. Alíquotas'!C13)/(1+'2. Alíquotas'!B13+'2. Alíquotas'!C13)+'1. Seus dados'!B13*'2. Alíquotas'!D13+'1. Seus dados'!B14*'2. Alíquotas'!E13)</f>
        <v/>
      </c>
      <c r="F10" s="20">
        <f>MAX(0,C10+D10-E10)</f>
        <v/>
      </c>
      <c r="G10" s="18">
        <f>F10/'1. Seus dados'!B5</f>
        <v/>
      </c>
      <c r="H10" s="18">
        <f>G10-$G$5</f>
        <v/>
      </c>
      <c r="I10" s="20">
        <f>'1. Seus dados'!B5-F10-'1. Seus dados'!B6-'1. Seus dados'!B8-'1. Seus dados'!B9</f>
        <v/>
      </c>
      <c r="J10" s="18">
        <f>IFERROR(($I$5-I10)/(1/(1+B10)-('1. Seus dados'!B11-'1. Seus dados'!B12)*'2. Alíquotas'!E13)/'1. Seus dados'!B5,0)</f>
        <v/>
      </c>
    </row>
    <row r="11">
      <c r="A11" s="16">
        <f>'2. Alíquotas'!A14</f>
        <v/>
      </c>
      <c r="B11" s="18">
        <f>('2. Alíquotas'!B14+'2. Alíquotas'!C14)*(1-'1. Seus dados'!B15)</f>
        <v/>
      </c>
      <c r="C11" s="20">
        <f>'1. Seus dados'!B5/(1+B11)*B11</f>
        <v/>
      </c>
      <c r="D11" s="20">
        <f>'1. Seus dados'!B5*('1. Seus dados'!B12*'2. Alíquotas'!D14+('1. Seus dados'!B11-'1. Seus dados'!B12)*'2. Alíquotas'!E14)</f>
        <v/>
      </c>
      <c r="E11" s="20">
        <f>'1. Seus dados'!B6*'1. Seus dados'!B7*(('2. Alíquotas'!B14+'2. Alíquotas'!C14)/(1+'2. Alíquotas'!B14+'2. Alíquotas'!C14)+'1. Seus dados'!B13*'2. Alíquotas'!D14+'1. Seus dados'!B14*'2. Alíquotas'!E14)</f>
        <v/>
      </c>
      <c r="F11" s="20">
        <f>MAX(0,C11+D11-E11)</f>
        <v/>
      </c>
      <c r="G11" s="18">
        <f>F11/'1. Seus dados'!B5</f>
        <v/>
      </c>
      <c r="H11" s="18">
        <f>G11-$G$5</f>
        <v/>
      </c>
      <c r="I11" s="20">
        <f>'1. Seus dados'!B5-F11-'1. Seus dados'!B6-'1. Seus dados'!B8-'1. Seus dados'!B9</f>
        <v/>
      </c>
      <c r="J11" s="18">
        <f>IFERROR(($I$5-I11)/(1/(1+B11)-('1. Seus dados'!B11-'1. Seus dados'!B12)*'2. Alíquotas'!E14)/'1. Seus dados'!B5,0)</f>
        <v/>
      </c>
    </row>
    <row r="12">
      <c r="A12" s="16">
        <f>'2. Alíquotas'!A15</f>
        <v/>
      </c>
      <c r="B12" s="18">
        <f>('2. Alíquotas'!B15+'2. Alíquotas'!C15)*(1-'1. Seus dados'!B15)</f>
        <v/>
      </c>
      <c r="C12" s="20">
        <f>'1. Seus dados'!B5/(1+B12)*B12</f>
        <v/>
      </c>
      <c r="D12" s="20">
        <f>'1. Seus dados'!B5*('1. Seus dados'!B12*'2. Alíquotas'!D15+('1. Seus dados'!B11-'1. Seus dados'!B12)*'2. Alíquotas'!E15)</f>
        <v/>
      </c>
      <c r="E12" s="20">
        <f>'1. Seus dados'!B6*'1. Seus dados'!B7*(('2. Alíquotas'!B15+'2. Alíquotas'!C15)/(1+'2. Alíquotas'!B15+'2. Alíquotas'!C15)+'1. Seus dados'!B13*'2. Alíquotas'!D15+'1. Seus dados'!B14*'2. Alíquotas'!E15)</f>
        <v/>
      </c>
      <c r="F12" s="20">
        <f>MAX(0,C12+D12-E12)</f>
        <v/>
      </c>
      <c r="G12" s="18">
        <f>F12/'1. Seus dados'!B5</f>
        <v/>
      </c>
      <c r="H12" s="18">
        <f>G12-$G$5</f>
        <v/>
      </c>
      <c r="I12" s="20">
        <f>'1. Seus dados'!B5-F12-'1. Seus dados'!B6-'1. Seus dados'!B8-'1. Seus dados'!B9</f>
        <v/>
      </c>
      <c r="J12" s="18">
        <f>IFERROR(($I$5-I12)/(1/(1+B12)-('1. Seus dados'!B11-'1. Seus dados'!B12)*'2. Alíquotas'!E15)/'1. Seus dados'!B5,0)</f>
        <v/>
      </c>
    </row>
    <row r="13">
      <c r="A13" s="16">
        <f>'2. Alíquotas'!A16</f>
        <v/>
      </c>
      <c r="B13" s="18">
        <f>('2. Alíquotas'!B16+'2. Alíquotas'!C16)*(1-'1. Seus dados'!B15)</f>
        <v/>
      </c>
      <c r="C13" s="20">
        <f>'1. Seus dados'!B5/(1+B13)*B13</f>
        <v/>
      </c>
      <c r="D13" s="20">
        <f>'1. Seus dados'!B5*('1. Seus dados'!B12*'2. Alíquotas'!D16+('1. Seus dados'!B11-'1. Seus dados'!B12)*'2. Alíquotas'!E16)</f>
        <v/>
      </c>
      <c r="E13" s="20">
        <f>'1. Seus dados'!B6*'1. Seus dados'!B7*(('2. Alíquotas'!B16+'2. Alíquotas'!C16)/(1+'2. Alíquotas'!B16+'2. Alíquotas'!C16)+'1. Seus dados'!B13*'2. Alíquotas'!D16+'1. Seus dados'!B14*'2. Alíquotas'!E16)</f>
        <v/>
      </c>
      <c r="F13" s="20">
        <f>MAX(0,C13+D13-E13)</f>
        <v/>
      </c>
      <c r="G13" s="18">
        <f>F13/'1. Seus dados'!B5</f>
        <v/>
      </c>
      <c r="H13" s="18">
        <f>G13-$G$5</f>
        <v/>
      </c>
      <c r="I13" s="20">
        <f>'1. Seus dados'!B5-F13-'1. Seus dados'!B6-'1. Seus dados'!B8-'1. Seus dados'!B9</f>
        <v/>
      </c>
      <c r="J13" s="18">
        <f>IFERROR(($I$5-I13)/(1/(1+B13)-('1. Seus dados'!B11-'1. Seus dados'!B12)*'2. Alíquotas'!E16)/'1. Seus dados'!B5,0)</f>
        <v/>
      </c>
    </row>
    <row r="15" ht="36" customHeight="1">
      <c r="A15" s="21" t="inlineStr">
        <is>
          <t>Como ler: 'Débito por fora' considera que o seu faturamento atual já inclui o IBS/CBS (mesmo preço). 'Reajuste' é quanto o preço precisa subir (ou pode cair, se negativo) para o lucro do mês ficar igual ao de hoje.</t>
        </is>
      </c>
    </row>
    <row r="16">
      <c r="A16" s="22" t="inlineStr">
        <is>
          <t>Estimativa educativa. Confirme com o seu contador antes de mudar preços.</t>
        </is>
      </c>
    </row>
  </sheetData>
  <mergeCells count="1">
    <mergeCell ref="A15:J15"/>
  </mergeCells>
  <conditionalFormatting sqref="H6:H13">
    <cfRule type="cellIs" priority="1" operator="greaterThan" dxfId="0">
      <formula>0.005</formula>
    </cfRule>
    <cfRule type="cellIs" priority="2" operator="lessThan" dxfId="1">
      <formula>-0.005</formula>
    </cfRule>
  </conditionalFormatting>
  <conditionalFormatting sqref="J6:J13">
    <cfRule type="cellIs" priority="3" operator="greaterThan" dxfId="0">
      <formula>0.005</formula>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62" customWidth="1" min="1" max="1"/>
    <col width="18" customWidth="1" min="2" max="2"/>
    <col width="18" customWidth="1" min="3" max="3"/>
    <col width="18" customWidth="1" min="4" max="4"/>
  </cols>
  <sheetData>
    <row r="1" ht="30" customHeight="1">
      <c r="A1" s="1" t="inlineStr">
        <is>
          <t>4. Simples: por dentro x híbrido</t>
        </is>
      </c>
      <c r="B1" s="2" t="n"/>
      <c r="C1" s="2" t="n"/>
      <c r="D1" s="2" t="n"/>
    </row>
    <row r="2">
      <c r="A2" s="3" t="inlineStr">
        <is>
          <t>Para empresas do Simples Nacional · referência: modelo final (2033)</t>
        </is>
      </c>
      <c r="B2" s="2" t="n"/>
      <c r="C2" s="2" t="n"/>
      <c r="D2" s="2" t="n"/>
    </row>
    <row r="4">
      <c r="A4" s="10" t="inlineStr">
        <is>
          <t>Dado</t>
        </is>
      </c>
      <c r="B4" s="10" t="inlineStr">
        <is>
          <t>Valor</t>
        </is>
      </c>
    </row>
    <row r="5">
      <c r="A5" s="11" t="inlineStr">
        <is>
          <t>Faturamento do mês</t>
        </is>
      </c>
      <c r="B5" s="20">
        <f>'1. Seus dados'!B5</f>
        <v/>
      </c>
    </row>
    <row r="6">
      <c r="A6" s="11" t="inlineStr">
        <is>
          <t>Alíquota efetiva do DAS hoje</t>
        </is>
      </c>
      <c r="B6" s="15" t="n">
        <v>0.08</v>
      </c>
    </row>
    <row r="7">
      <c r="A7" s="11" t="inlineStr">
        <is>
          <t>Parte de IBS/CBS dentro do DAS (% da venda) — peça ao contador</t>
        </is>
      </c>
      <c r="B7" s="15" t="n">
        <v>0.03</v>
      </c>
    </row>
    <row r="8">
      <c r="A8" s="11" t="inlineStr">
        <is>
          <t>% das vendas para empresas</t>
        </is>
      </c>
      <c r="B8" s="23">
        <f>'1. Seus dados'!B16</f>
        <v/>
      </c>
    </row>
    <row r="9">
      <c r="A9" s="11" t="inlineStr">
        <is>
          <t>Compras com nota de fornecedores do regime regular</t>
        </is>
      </c>
      <c r="B9" s="20">
        <f>'1. Seus dados'!B6*'1. Seus dados'!B7</f>
        <v/>
      </c>
    </row>
    <row r="10">
      <c r="A10" s="11" t="inlineStr">
        <is>
          <t>Alíquota IBS+CBS (modelo final)</t>
        </is>
      </c>
      <c r="B10" s="18">
        <f>'2. Alíquotas'!B6*(1-'1. Seus dados'!B15)</f>
        <v/>
      </c>
    </row>
    <row r="11">
      <c r="A11" s="11" t="inlineStr">
        <is>
          <t>Custo extra estimado de contabilidade/sistema no híbrido (mês)</t>
        </is>
      </c>
      <c r="B11" s="12" t="n">
        <v>300</v>
      </c>
    </row>
    <row r="13">
      <c r="A13" s="10" t="inlineStr">
        <is>
          <t>Resultado</t>
        </is>
      </c>
      <c r="B13" s="10" t="inlineStr">
        <is>
          <t>Por dentro</t>
        </is>
      </c>
      <c r="C13" s="10" t="inlineStr">
        <is>
          <t>Híbrido</t>
        </is>
      </c>
      <c r="D13" s="10" t="inlineStr">
        <is>
          <t>Diferença</t>
        </is>
      </c>
    </row>
    <row r="14">
      <c r="A14" s="11" t="inlineStr">
        <is>
          <t>Imposto do mês (DAS + IBS/CBS − créditos)</t>
        </is>
      </c>
      <c r="B14" s="20">
        <f>B5*B6</f>
        <v/>
      </c>
      <c r="C14" s="20">
        <f>B5*(B6-B7)+B5/(1+B10)*B10-B9*B10/(1+B10)+B11</f>
        <v/>
      </c>
      <c r="D14" s="20">
        <f>C14-B14</f>
        <v/>
      </c>
    </row>
    <row r="15">
      <c r="A15" s="11" t="inlineStr">
        <is>
          <t>Crédito que o cliente empresa aproveita a cada R$ 1.000</t>
        </is>
      </c>
      <c r="B15" s="20">
        <f>1000*B7</f>
        <v/>
      </c>
      <c r="C15" s="20">
        <f>1000/(1+B10)*B10</f>
        <v/>
      </c>
      <c r="D15" s="20">
        <f>C15-B15</f>
        <v/>
      </c>
    </row>
    <row r="16">
      <c r="A16" s="11" t="inlineStr">
        <is>
          <t>Crédito total gerado aos clientes empresa no mês</t>
        </is>
      </c>
      <c r="B16" s="20">
        <f>B5*B8*B7</f>
        <v/>
      </c>
      <c r="C16" s="20">
        <f>B5*B8/(1+B10)*B10</f>
        <v/>
      </c>
      <c r="D16" s="20">
        <f>C16-B16</f>
        <v/>
      </c>
    </row>
    <row r="18">
      <c r="A18" s="6" t="inlineStr">
        <is>
          <t>Leitura:</t>
        </is>
      </c>
    </row>
    <row r="19" ht="48" customHeight="1">
      <c r="A19" s="24">
        <f>IF(B8&lt;0.2,"Você vende pouco para empresas: ficar POR DENTRO tende a ser mais simples e barato. Confirme com o contador.",IF(D14&lt;=0,"O híbrido sai mais barato no imposto e ainda gera mais crédito ao cliente: vale avaliar com o contador.","O híbrido custa mais imposto por mês (célula D14), mas gera mais crédito aos seus clientes empresa (célula D16). Vale se os clientes PJ pagariam mais ou deixariam de comprar de você por falta de crédito. Decida com o contador."))</f>
        <v/>
      </c>
    </row>
    <row r="21">
      <c r="A21" s="19" t="inlineStr">
        <is>
          <t>Prazos: opção para jan–jun/2027 até 30/10/2026 (cancelamento de 03/11 a 20/12/2026); depois, janelas em março e setembro de cada ano.</t>
        </is>
      </c>
    </row>
  </sheetData>
  <mergeCells count="1">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2026-10-28T09:53:09Z</dcterms:created>
  <dcterms:modified xmlns:dcterms="http://purl.org/dc/terms/" xmlns:xsi="http://www.w3.org/2001/XMLSchema-instance" xsi:type="dcterms:W3CDTF">2026-10-28T09:53:09Z</dcterms:modified>
</cp:coreProperties>
</file>