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ício" sheetId="1" state="visible" r:id="rId1"/>
    <sheet xmlns:r="http://schemas.openxmlformats.org/officeDocument/2006/relationships" name="Plano 30 dias" sheetId="2" state="visible" r:id="rId2"/>
    <sheet xmlns:r="http://schemas.openxmlformats.org/officeDocument/2006/relationships" name="Caixa semanal" sheetId="3" state="visible" r:id="rId3"/>
    <sheet xmlns:r="http://schemas.openxmlformats.org/officeDocument/2006/relationships" name="Nota mês a mês" sheetId="4" state="visible" r:id="rId4"/>
    <sheet xmlns:r="http://schemas.openxmlformats.org/officeDocument/2006/relationships" name="Calendário" sheetId="5" state="visible" r:id="rId5"/>
    <sheet xmlns:r="http://schemas.openxmlformats.org/officeDocument/2006/relationships" name="Simples x Híbrido" sheetId="6" state="visible" r:id="rId6"/>
    <sheet xmlns:r="http://schemas.openxmlformats.org/officeDocument/2006/relationships" name="Preço 2027" sheetId="7" state="visible" r:id="rId7"/>
  </sheets>
  <definedNames/>
  <calcPr calcId="124519" fullCalcOnLoad="1"/>
</workbook>
</file>

<file path=xl/styles.xml><?xml version="1.0" encoding="utf-8"?>
<styleSheet xmlns="http://schemas.openxmlformats.org/spreadsheetml/2006/main">
  <numFmts count="7">
    <numFmt numFmtId="164" formatCode="yyyy-mm-dd"/>
    <numFmt numFmtId="165" formatCode="dd/mm/yyyy"/>
    <numFmt numFmtId="166" formatCode="&quot;R$&quot; #,##0.00;[Red]-&quot;R$&quot; #,##0.00"/>
    <numFmt numFmtId="167" formatCode="0.0%"/>
    <numFmt numFmtId="168" formatCode="&quot;R$&quot; #,##0;[Red]-&quot;R$&quot; #,##0"/>
    <numFmt numFmtId="169" formatCode="dd/mm"/>
    <numFmt numFmtId="170" formatCode="mmm/yy"/>
  </numFmts>
  <fonts count="11">
    <font>
      <name val="Calibri"/>
      <family val="2"/>
      <color theme="1"/>
      <sz val="11"/>
      <scheme val="minor"/>
    </font>
    <font>
      <name val="Montserrat"/>
      <b val="1"/>
      <color rgb="00FFFFFF"/>
      <sz val="16"/>
    </font>
    <font>
      <name val="Inter"/>
      <color rgb="00FCC419"/>
      <sz val="10"/>
    </font>
    <font>
      <name val="Inter"/>
      <b val="1"/>
    </font>
    <font>
      <name val="Inter"/>
      <b val="1"/>
      <color rgb="000B1220"/>
    </font>
    <font>
      <name val="Inter"/>
      <b val="1"/>
      <color rgb="00FFFFFF"/>
    </font>
    <font>
      <b val="1"/>
    </font>
    <font>
      <name val="Inter"/>
    </font>
    <font>
      <b val="1"/>
      <color rgb="0015803D"/>
    </font>
    <font>
      <b val="1"/>
      <color rgb="00B91C1C"/>
    </font>
    <font>
      <i val="1"/>
      <sz val="9"/>
    </font>
  </fonts>
  <fills count="6">
    <fill>
      <patternFill/>
    </fill>
    <fill>
      <patternFill patternType="gray125"/>
    </fill>
    <fill>
      <patternFill patternType="solid">
        <fgColor rgb="000B1220"/>
      </patternFill>
    </fill>
    <fill>
      <patternFill patternType="solid">
        <fgColor rgb="00FFF4CC"/>
      </patternFill>
    </fill>
    <fill>
      <patternFill patternType="solid">
        <fgColor rgb="00E8F7EE"/>
      </patternFill>
    </fill>
    <fill>
      <patternFill patternType="solid">
        <fgColor rgb="00F1F4F8"/>
      </patternFill>
    </fill>
  </fills>
  <borders count="2">
    <border>
      <left/>
      <right/>
      <top/>
      <bottom/>
      <diagonal/>
    </border>
    <border>
      <left style="thin">
        <color rgb="00D5DBE5"/>
      </left>
      <right style="thin">
        <color rgb="00D5DBE5"/>
      </right>
      <top style="thin">
        <color rgb="00D5DBE5"/>
      </top>
      <bottom style="thin">
        <color rgb="00D5DBE5"/>
      </bottom>
    </border>
  </borders>
  <cellStyleXfs count="1">
    <xf numFmtId="0" fontId="0" fillId="0" borderId="0"/>
  </cellStyleXfs>
  <cellXfs count="28">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3" fillId="0" borderId="1" applyAlignment="1" pivotButton="0" quotePrefix="0" xfId="0">
      <alignment vertical="center" wrapText="1"/>
    </xf>
    <xf numFmtId="0" fontId="4" fillId="3" borderId="1" pivotButton="0" quotePrefix="0" xfId="0"/>
    <xf numFmtId="165" fontId="4" fillId="3" borderId="1" pivotButton="0" quotePrefix="0" xfId="0"/>
    <xf numFmtId="166" fontId="4" fillId="3" borderId="1" pivotButton="0" quotePrefix="0" xfId="0"/>
    <xf numFmtId="0" fontId="5" fillId="2" borderId="1" applyAlignment="1" pivotButton="0" quotePrefix="0" xfId="0">
      <alignment vertical="center" wrapText="1"/>
    </xf>
    <xf numFmtId="0" fontId="3" fillId="4" borderId="1" pivotButton="0" quotePrefix="0" xfId="0"/>
    <xf numFmtId="167" fontId="3" fillId="4" borderId="1" pivotButton="0" quotePrefix="0" xfId="0"/>
    <xf numFmtId="168" fontId="3" fillId="4" borderId="1" pivotButton="0" quotePrefix="0" xfId="0"/>
    <xf numFmtId="0" fontId="0" fillId="0" borderId="1" applyAlignment="1" pivotButton="0" quotePrefix="0" xfId="0">
      <alignment vertical="top" wrapText="1"/>
    </xf>
    <xf numFmtId="165" fontId="0" fillId="0" borderId="1" applyAlignment="1" pivotButton="0" quotePrefix="0" xfId="0">
      <alignment vertical="top" wrapText="1"/>
    </xf>
    <xf numFmtId="169" fontId="7" fillId="4" borderId="1" pivotButton="0" quotePrefix="0" xfId="0"/>
    <xf numFmtId="0" fontId="8" fillId="0" borderId="0" pivotButton="0" quotePrefix="0" xfId="0"/>
    <xf numFmtId="0" fontId="7" fillId="0" borderId="1" applyAlignment="1" pivotButton="0" quotePrefix="0" xfId="0">
      <alignment vertical="center" wrapText="1"/>
    </xf>
    <xf numFmtId="168" fontId="4" fillId="3" borderId="1" pivotButton="0" quotePrefix="0" xfId="0"/>
    <xf numFmtId="0" fontId="9" fillId="0" borderId="0" pivotButton="0" quotePrefix="0" xfId="0"/>
    <xf numFmtId="0" fontId="7" fillId="4" borderId="1" pivotButton="0" quotePrefix="0" xfId="0"/>
    <xf numFmtId="170" fontId="0" fillId="0" borderId="0" pivotButton="0" quotePrefix="0" xfId="0"/>
    <xf numFmtId="0" fontId="7" fillId="4" borderId="1" applyAlignment="1" pivotButton="0" quotePrefix="0" xfId="0">
      <alignment vertical="top" wrapText="1"/>
    </xf>
    <xf numFmtId="0" fontId="10" fillId="0" borderId="0" pivotButton="0" quotePrefix="0" xfId="0"/>
    <xf numFmtId="10" fontId="4" fillId="3" borderId="1" pivotButton="0" quotePrefix="0" xfId="0"/>
    <xf numFmtId="167" fontId="4" fillId="3" borderId="1" pivotButton="0" quotePrefix="0" xfId="0"/>
    <xf numFmtId="10" fontId="3" fillId="4" borderId="1" pivotButton="0" quotePrefix="0" xfId="0"/>
    <xf numFmtId="166" fontId="3" fillId="4" borderId="1" pivotButton="0" quotePrefix="0" xfId="0"/>
    <xf numFmtId="0" fontId="0" fillId="5" borderId="0" applyAlignment="1" pivotButton="0" quotePrefix="0" xfId="0">
      <alignment wrapText="1"/>
    </xf>
  </cellXfs>
  <cellStyles count="1">
    <cellStyle name="Normal" xfId="0" builtinId="0" hidden="0"/>
  </cellStyles>
  <dxfs count="4">
    <dxf>
      <fill>
        <patternFill patternType="solid">
          <fgColor rgb="00DCFCE7"/>
        </patternFill>
      </fill>
    </dxf>
    <dxf>
      <fill>
        <patternFill patternType="solid">
          <fgColor rgb="00FEF3C7"/>
        </patternFill>
      </fill>
    </dxf>
    <dxf>
      <font>
        <b val="1"/>
        <color rgb="00B91C1C"/>
      </font>
      <fill>
        <patternFill patternType="solid">
          <fgColor rgb="00FDE2E2"/>
        </patternFill>
      </fill>
    </dxf>
    <dxf>
      <fill>
        <patternFill patternType="solid">
          <fgColor rgb="00FD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Saldo final por semana</a:t>
            </a:r>
          </a:p>
        </rich>
      </tx>
    </title>
    <plotArea>
      <barChart>
        <barDir val="col"/>
        <grouping val="clustered"/>
        <ser>
          <idx val="0"/>
          <order val="0"/>
          <spPr>
            <a:ln xmlns:a="http://schemas.openxmlformats.org/drawingml/2006/main">
              <a:prstDash val="solid"/>
            </a:ln>
          </spPr>
          <cat>
            <numRef>
              <f>'Caixa semanal'!$B$4:$N$4</f>
            </numRef>
          </cat>
          <val>
            <numRef>
              <f>'Caixa semanal'!$B$26:$N$26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Evolução da nota</a:t>
            </a:r>
          </a:p>
        </rich>
      </tx>
    </title>
    <plotArea>
      <lineChart>
        <grouping val="standard"/>
        <ser>
          <idx val="0"/>
          <order val="0"/>
          <tx>
            <strRef>
              <f>'Nota mês a mês'!B4</f>
            </strRef>
          </tx>
          <spPr>
            <a:ln xmlns:a="http://schemas.openxmlformats.org/drawingml/2006/main">
              <a:prstDash val="solid"/>
            </a:ln>
          </spPr>
          <marker>
            <symbol val="none"/>
            <spPr>
              <a:ln xmlns:a="http://schemas.openxmlformats.org/drawingml/2006/main">
                <a:prstDash val="solid"/>
              </a:ln>
            </spPr>
          </marker>
          <cat>
            <numRef>
              <f>'Nota mês a mês'!$A$5:$A$16</f>
            </numRef>
          </cat>
          <val>
            <numRef>
              <f>'Nota mês a mês'!$B$5:$B$16</f>
            </numRef>
          </val>
        </ser>
        <ser>
          <idx val="1"/>
          <order val="1"/>
          <tx>
            <strRef>
              <f>'Nota mês a mês'!C4</f>
            </strRef>
          </tx>
          <spPr>
            <a:ln xmlns:a="http://schemas.openxmlformats.org/drawingml/2006/main">
              <a:prstDash val="solid"/>
            </a:ln>
          </spPr>
          <marker>
            <symbol val="none"/>
            <spPr>
              <a:ln xmlns:a="http://schemas.openxmlformats.org/drawingml/2006/main">
                <a:prstDash val="solid"/>
              </a:ln>
            </spPr>
          </marker>
          <cat>
            <numRef>
              <f>'Nota mês a mês'!$A$5:$A$16</f>
            </numRef>
          </cat>
          <val>
            <numRef>
              <f>'Nota mês a mês'!$C$5:$C$16</f>
            </numRef>
          </val>
        </ser>
        <ser>
          <idx val="2"/>
          <order val="2"/>
          <tx>
            <strRef>
              <f>'Nota mês a mês'!D4</f>
            </strRef>
          </tx>
          <spPr>
            <a:ln xmlns:a="http://schemas.openxmlformats.org/drawingml/2006/main">
              <a:prstDash val="solid"/>
            </a:ln>
          </spPr>
          <marker>
            <symbol val="none"/>
            <spPr>
              <a:ln xmlns:a="http://schemas.openxmlformats.org/drawingml/2006/main">
                <a:prstDash val="solid"/>
              </a:ln>
            </spPr>
          </marker>
          <cat>
            <numRef>
              <f>'Nota mês a mês'!$A$5:$A$16</f>
            </numRef>
          </cat>
          <val>
            <numRef>
              <f>'Nota mês a mês'!$D$5:$D$16</f>
            </numRef>
          </val>
        </ser>
        <ser>
          <idx val="3"/>
          <order val="3"/>
          <tx>
            <strRef>
              <f>'Nota mês a mês'!E4</f>
            </strRef>
          </tx>
          <spPr>
            <a:ln xmlns:a="http://schemas.openxmlformats.org/drawingml/2006/main">
              <a:prstDash val="solid"/>
            </a:ln>
          </spPr>
          <marker>
            <symbol val="none"/>
            <spPr>
              <a:ln xmlns:a="http://schemas.openxmlformats.org/drawingml/2006/main">
                <a:prstDash val="solid"/>
              </a:ln>
            </spPr>
          </marker>
          <cat>
            <numRef>
              <f>'Nota mês a mês'!$A$5:$A$16</f>
            </numRef>
          </cat>
          <val>
            <numRef>
              <f>'Nota mês a mês'!$E$5:$E$16</f>
            </numRef>
          </val>
        </ser>
        <axId val="10"/>
        <axId val="100"/>
      </lineChart>
      <catAx>
        <axId val="10"/>
        <scaling>
          <orientation val="minMax"/>
        </scaling>
        <axPos val="l"/>
        <majorTickMark val="none"/>
        <minorTickMark val="none"/>
        <crossAx val="100"/>
        <lblOffset val="100"/>
      </catAx>
      <valAx>
        <axId val="100"/>
        <scaling>
          <orientation val="minMax"/>
          <max val="100"/>
          <min val="0"/>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0</col>
      <colOff>0</colOff>
      <row>32</row>
      <rowOff>0</rowOff>
    </from>
    <ext cx="86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7</col>
      <colOff>0</colOff>
      <row>3</row>
      <rowOff>0</rowOff>
    </from>
    <ext cx="72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42" customWidth="1" min="1" max="1"/>
    <col width="34" customWidth="1" min="2" max="2"/>
    <col width="12" customWidth="1" min="3" max="3"/>
    <col width="12" customWidth="1" min="4" max="4"/>
    <col width="12" customWidth="1" min="5" max="5"/>
  </cols>
  <sheetData>
    <row r="1" ht="30" customHeight="1">
      <c r="A1" s="1" t="inlineStr">
        <is>
          <t>Painel de Implementação 2027</t>
        </is>
      </c>
      <c r="B1" s="2" t="n"/>
      <c r="C1" s="2" t="n"/>
      <c r="D1" s="2" t="n"/>
      <c r="E1" s="2" t="n"/>
    </row>
    <row r="2">
      <c r="A2" s="3" t="inlineStr">
        <is>
          <t>Kit Implementação 2027 · Kit Não Vire Estatística</t>
        </is>
      </c>
      <c r="B2" s="2" t="n"/>
      <c r="C2" s="2" t="n"/>
      <c r="D2" s="2" t="n"/>
      <c r="E2" s="2" t="n"/>
    </row>
    <row r="4">
      <c r="A4" s="4" t="inlineStr">
        <is>
          <t>Empresa</t>
        </is>
      </c>
      <c r="B4" s="5" t="inlineStr">
        <is>
          <t>Minha Empresa</t>
        </is>
      </c>
    </row>
    <row r="5">
      <c r="A5" s="4" t="inlineStr">
        <is>
          <t>Segmento</t>
        </is>
      </c>
      <c r="B5" s="5" t="inlineStr">
        <is>
          <t>Comércio e Alimentação</t>
        </is>
      </c>
    </row>
    <row r="6">
      <c r="A6" s="4" t="inlineStr">
        <is>
          <t>Data de início do plano</t>
        </is>
      </c>
      <c r="B6" s="6" t="n">
        <v>46328</v>
      </c>
    </row>
    <row r="7">
      <c r="A7" s="4" t="inlineStr">
        <is>
          <t>Saldo de caixa inicial</t>
        </is>
      </c>
      <c r="B7" s="7" t="n">
        <v>15000</v>
      </c>
    </row>
    <row r="8">
      <c r="A8" s="4" t="inlineStr">
        <is>
          <t>Reserva mínima (1 mês de custo fixo)</t>
        </is>
      </c>
      <c r="B8" s="7" t="n">
        <v>18000</v>
      </c>
    </row>
    <row r="10">
      <c r="A10" s="8" t="inlineStr">
        <is>
          <t>Resumo</t>
        </is>
      </c>
      <c r="B10" s="8" t="inlineStr">
        <is>
          <t>Valor</t>
        </is>
      </c>
    </row>
    <row r="11">
      <c r="A11" s="4" t="inlineStr">
        <is>
          <t>Tarefas do plano concluídas</t>
        </is>
      </c>
      <c r="B11" s="9">
        <f>COUNTIF('Plano 30 dias'!F5:F34,"OK")&amp;" de 30"</f>
        <v/>
      </c>
    </row>
    <row r="12">
      <c r="A12" s="4" t="inlineStr">
        <is>
          <t>Progresso do plano</t>
        </is>
      </c>
      <c r="B12" s="10">
        <f>COUNTIF('Plano 30 dias'!F5:F34,"OK")/30</f>
        <v/>
      </c>
    </row>
    <row r="13">
      <c r="A13" s="4" t="inlineStr">
        <is>
          <t>Última nota do diagnóstico</t>
        </is>
      </c>
      <c r="B13" s="9">
        <f>IFERROR(LOOKUP(2,1/('Nota mês a mês'!B5:B28&lt;&gt;""),'Nota mês a mês'!B5:B28),"—")</f>
        <v/>
      </c>
    </row>
    <row r="14">
      <c r="A14" s="4" t="inlineStr">
        <is>
          <t>Menor saldo previsto em 13 semanas</t>
        </is>
      </c>
      <c r="B14" s="11">
        <f>'Caixa semanal'!B29</f>
        <v/>
      </c>
    </row>
    <row r="15">
      <c r="A15" s="4" t="inlineStr">
        <is>
          <t>Primeira semana negativa</t>
        </is>
      </c>
      <c r="B15" s="9">
        <f>'Caixa semanal'!B30</f>
        <v/>
      </c>
    </row>
    <row r="16">
      <c r="A16" s="4" t="inlineStr">
        <is>
          <t>Próxima data da reforma</t>
        </is>
      </c>
      <c r="B16" s="9">
        <f>IFERROR(INDEX(Calendário!B5:B16,MATCH(TRUE,INDEX(Calendário!A5:A16&gt;=TODAY(),0),0)),"—")</f>
        <v/>
      </c>
    </row>
    <row r="17">
      <c r="A17" s="4" t="inlineStr">
        <is>
          <t>Faltam (dias)</t>
        </is>
      </c>
      <c r="B17" s="9">
        <f>IFERROR(INDEX(Calendário!A5:A16,MATCH(TRUE,INDEX(Calendário!A5:A16&gt;=TODAY(),0),0))-TODAY(),"—")</f>
        <v/>
      </c>
    </row>
  </sheetData>
  <conditionalFormatting sqref="B12">
    <cfRule type="dataBar" priority="1">
      <dataBar>
        <cfvo type="num" val="0"/>
        <cfvo type="num" val="1"/>
        <color rgb="0022C55E"/>
      </dataBar>
    </cfRule>
  </conditionalFormatting>
  <dataValidations count="1">
    <dataValidation sqref="B5" showDropDown="0" showInputMessage="0" showErrorMessage="0" allowBlank="0" type="list">
      <formula1>"Comércio e Alimentação,Serviços,Indústria / Agro / B2B"</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showGridLines="0" workbookViewId="0">
      <pane ySplit="4" topLeftCell="A5" activePane="bottomLeft" state="frozen"/>
      <selection pane="bottomLeft" activeCell="A1" sqref="A1"/>
    </sheetView>
  </sheetViews>
  <sheetFormatPr baseColWidth="8" defaultRowHeight="15"/>
  <cols>
    <col width="6" customWidth="1" min="1" max="1"/>
    <col width="12" customWidth="1" min="2" max="2"/>
    <col width="10" customWidth="1" min="3" max="3"/>
    <col width="40" customWidth="1" min="4" max="4"/>
    <col width="70" customWidth="1" min="5" max="5"/>
    <col width="15" customWidth="1" min="6" max="6"/>
  </cols>
  <sheetData>
    <row r="1" ht="30" customHeight="1">
      <c r="A1" s="1" t="inlineStr">
        <is>
          <t>Plano 30 dias</t>
        </is>
      </c>
      <c r="B1" s="2" t="n"/>
      <c r="C1" s="2" t="n"/>
      <c r="D1" s="2" t="n"/>
      <c r="E1" s="2" t="n"/>
      <c r="F1" s="2" t="n"/>
    </row>
    <row r="2">
      <c r="A2" s="3" t="inlineStr">
        <is>
          <t>Marque OK na coluna Status. As datas saem da aba Início.</t>
        </is>
      </c>
      <c r="B2" s="2" t="n"/>
      <c r="C2" s="2" t="n"/>
      <c r="D2" s="2" t="n"/>
      <c r="E2" s="2" t="n"/>
      <c r="F2" s="2" t="n"/>
    </row>
    <row r="4">
      <c r="A4" s="8" t="inlineStr">
        <is>
          <t>Dia</t>
        </is>
      </c>
      <c r="B4" s="8" t="inlineStr">
        <is>
          <t>Data</t>
        </is>
      </c>
      <c r="C4" s="8" t="inlineStr">
        <is>
          <t>Escudo</t>
        </is>
      </c>
      <c r="D4" s="8" t="inlineStr">
        <is>
          <t>Tarefa</t>
        </is>
      </c>
      <c r="E4" s="8" t="inlineStr">
        <is>
          <t>Como fazer</t>
        </is>
      </c>
      <c r="F4" s="8" t="inlineStr">
        <is>
          <t>Status</t>
        </is>
      </c>
    </row>
    <row r="5" ht="30" customHeight="1">
      <c r="A5" s="12" t="n">
        <v>1</v>
      </c>
      <c r="B5" s="13">
        <f>Início!$B$6+0</f>
        <v/>
      </c>
      <c r="C5" s="12" t="inlineStr">
        <is>
          <t>Caixa</t>
        </is>
      </c>
      <c r="D5" s="12" t="inlineStr">
        <is>
          <t>Separe o dinheiro da empresa do seu</t>
        </is>
      </c>
      <c r="E5" s="12" t="inlineStr">
        <is>
          <t>Abra (ou confirme) uma conta só da empresa. Defina hoje o seu pró-labore fixo do mês e pare de pagar contas pessoais pela empresa.</t>
        </is>
      </c>
      <c r="F5" s="5" t="inlineStr"/>
    </row>
    <row r="6" ht="42" customHeight="1">
      <c r="A6" s="12" t="n">
        <v>2</v>
      </c>
      <c r="B6" s="13">
        <f>Início!$B$6+1</f>
        <v/>
      </c>
      <c r="C6" s="12" t="inlineStr">
        <is>
          <t>Caixa</t>
        </is>
      </c>
      <c r="D6" s="12" t="inlineStr">
        <is>
          <t>Liste tudo o que você tem para pagar</t>
        </is>
      </c>
      <c r="E6" s="12" t="inlineStr">
        <is>
          <t>Todas as contas das próximas 13 semanas: fornecedores, folha, aluguel, impostos, parcelas. Coloque data e valor. Use a planilha de 13 semanas ou o bloco de notas.</t>
        </is>
      </c>
      <c r="F6" s="5" t="inlineStr"/>
    </row>
    <row r="7" ht="30" customHeight="1">
      <c r="A7" s="12" t="n">
        <v>3</v>
      </c>
      <c r="B7" s="13">
        <f>Início!$B$6+2</f>
        <v/>
      </c>
      <c r="C7" s="12" t="inlineStr">
        <is>
          <t>Caixa</t>
        </is>
      </c>
      <c r="D7" s="12" t="inlineStr">
        <is>
          <t>Liste tudo o que você tem a receber</t>
        </is>
      </c>
      <c r="E7" s="12" t="inlineStr">
        <is>
          <t>Quem deve, quanto, e há quantos dias venceu. Separe: a vencer, até 30 dias de atraso, mais de 30 dias.</t>
        </is>
      </c>
      <c r="F7" s="5" t="inlineStr"/>
    </row>
    <row r="8" ht="30" customHeight="1">
      <c r="A8" s="12" t="n">
        <v>4</v>
      </c>
      <c r="B8" s="13">
        <f>Início!$B$6+3</f>
        <v/>
      </c>
      <c r="C8" s="12" t="inlineStr">
        <is>
          <t>Caixa</t>
        </is>
      </c>
      <c r="D8" s="12" t="inlineStr">
        <is>
          <t>Calcule o seu fôlego</t>
        </is>
      </c>
      <c r="E8" s="12" t="inlineStr">
        <is>
          <t>Use a calculadora de fôlego com os números reais e o cenário de vendas 20% menores. Anote quantos meses o caixa aguenta.</t>
        </is>
      </c>
      <c r="F8" s="5" t="inlineStr"/>
    </row>
    <row r="9" ht="30" customHeight="1">
      <c r="A9" s="12" t="n">
        <v>5</v>
      </c>
      <c r="B9" s="13">
        <f>Início!$B$6+4</f>
        <v/>
      </c>
      <c r="C9" s="12" t="inlineStr">
        <is>
          <t>Caixa</t>
        </is>
      </c>
      <c r="D9" s="12" t="inlineStr">
        <is>
          <t>Corte ou renegocie 3 custos fixos</t>
        </is>
      </c>
      <c r="E9" s="12" t="inlineStr">
        <is>
          <t>Assinaturas que ninguém usa, plano de telefone/internet, aluguel de máquina, contrato de sistema. Ligue e peça desconto ou cancele.</t>
        </is>
      </c>
      <c r="F9" s="5" t="inlineStr"/>
    </row>
    <row r="10" ht="30" customHeight="1">
      <c r="A10" s="12" t="n">
        <v>6</v>
      </c>
      <c r="B10" s="13">
        <f>Início!$B$6+5</f>
        <v/>
      </c>
      <c r="C10" s="12" t="inlineStr">
        <is>
          <t>Caixa</t>
        </is>
      </c>
      <c r="D10" s="12" t="inlineStr">
        <is>
          <t>Cobre os atrasados (régua de cobrança)</t>
        </is>
      </c>
      <c r="E10" s="12" t="inlineStr">
        <is>
          <t>Envie as mensagens da régua para todos os clientes com atraso, começando pelos maiores valores. Ofereça Pix à vista ou 2 vezes.</t>
        </is>
      </c>
      <c r="F10" s="5" t="inlineStr"/>
    </row>
    <row r="11" ht="42" customHeight="1">
      <c r="A11" s="12" t="n">
        <v>7</v>
      </c>
      <c r="B11" s="13">
        <f>Início!$B$6+6</f>
        <v/>
      </c>
      <c r="C11" s="12" t="inlineStr">
        <is>
          <t>Caixa</t>
        </is>
      </c>
      <c r="D11" s="12" t="inlineStr">
        <is>
          <t>Revisão da semana 1</t>
        </is>
      </c>
      <c r="E11" s="12" t="inlineStr">
        <is>
          <t>Atualize o fluxo de 13 semanas, marque o que foi feito e anote quanto entrou de cobrança. Defina a % das vendas que vai para a reserva (comece com 3% a 5%).</t>
        </is>
      </c>
      <c r="F11" s="5" t="inlineStr"/>
    </row>
    <row r="12" ht="30" customHeight="1">
      <c r="A12" s="12" t="n">
        <v>8</v>
      </c>
      <c r="B12" s="13">
        <f>Início!$B$6+7</f>
        <v/>
      </c>
      <c r="C12" s="12" t="inlineStr">
        <is>
          <t>Margem</t>
        </is>
      </c>
      <c r="D12" s="12" t="inlineStr">
        <is>
          <t>Seus 10 campeões de venda</t>
        </is>
      </c>
      <c r="E12" s="12" t="inlineStr">
        <is>
          <t>Liste os 10 produtos ou serviços que mais vendem, com preço e custo direto de cada um.</t>
        </is>
      </c>
      <c r="F12" s="5" t="inlineStr"/>
    </row>
    <row r="13" ht="30" customHeight="1">
      <c r="A13" s="12" t="n">
        <v>9</v>
      </c>
      <c r="B13" s="13">
        <f>Início!$B$6+8</f>
        <v/>
      </c>
      <c r="C13" s="12" t="inlineStr">
        <is>
          <t>Margem</t>
        </is>
      </c>
      <c r="D13" s="12" t="inlineStr">
        <is>
          <t>Calcule a margem de cada um</t>
        </is>
      </c>
      <c r="E13" s="12" t="inlineStr">
        <is>
          <t>Margem = preço − imposto − custo direto − taxa de cartão/app. Marque em vermelho quem tem margem abaixo de 20%.</t>
        </is>
      </c>
      <c r="F13" s="5" t="inlineStr"/>
    </row>
    <row r="14" ht="30" customHeight="1">
      <c r="A14" s="12" t="n">
        <v>10</v>
      </c>
      <c r="B14" s="13">
        <f>Início!$B$6+9</f>
        <v/>
      </c>
      <c r="C14" s="12" t="inlineStr">
        <is>
          <t>Margem</t>
        </is>
      </c>
      <c r="D14" s="12" t="inlineStr">
        <is>
          <t>Descubra o seu ponto de equilíbrio</t>
        </is>
      </c>
      <c r="E14" s="12" t="inlineStr">
        <is>
          <t>Use a calculadora de fôlego: ela mostra quanto precisa vender por mês para empatar. Divida pelos dias de trabalho e tenha a meta diária.</t>
        </is>
      </c>
      <c r="F14" s="5" t="inlineStr"/>
    </row>
    <row r="15" ht="30" customHeight="1">
      <c r="A15" s="12" t="n">
        <v>11</v>
      </c>
      <c r="B15" s="13">
        <f>Início!$B$6+10</f>
        <v/>
      </c>
      <c r="C15" s="12" t="inlineStr">
        <is>
          <t>Margem</t>
        </is>
      </c>
      <c r="D15" s="12" t="inlineStr">
        <is>
          <t>Simule o preço para 2027</t>
        </is>
      </c>
      <c r="E15" s="12" t="inlineStr">
        <is>
          <t>No simulador, rode os 3 itens mais importantes com a regra nova. Anote se o preço precisa subir, ficar ou pode cair.</t>
        </is>
      </c>
      <c r="F15" s="5" t="inlineStr"/>
    </row>
    <row r="16" ht="84" customHeight="1">
      <c r="A16" s="12" t="n">
        <v>12</v>
      </c>
      <c r="B16" s="13">
        <f>Início!$B$6+11</f>
        <v/>
      </c>
      <c r="C16" s="12" t="inlineStr">
        <is>
          <t>Margem</t>
        </is>
      </c>
      <c r="D16" s="12" t="inlineStr">
        <is>
          <t>A: Transforme estoque parado em caixa | B: Meça a sua hora real | C: Calcule o seu ciclo financeiro</t>
        </is>
      </c>
      <c r="E16" s="12" t="inlineStr">
        <is>
          <t>Comércio: Liste o que está parado há mais de 90 dias e crie uma ação de giro: combo, kit, queima com prazo ou troca com o fornecedor. | Serviços: Anote por 1 semana as horas faturadas e não faturadas. Preço da hora = (custos do mês + pró-labore + lucro desejado) ÷ horas faturáveis. | Indústria/B2B: Ciclo = dias para receber + dias de estoque − dias para pagar. Cada dia a menos libera caixa. Anote o seu número.</t>
        </is>
      </c>
      <c r="F16" s="5" t="inlineStr"/>
    </row>
    <row r="17" ht="42" customHeight="1">
      <c r="A17" s="12" t="n">
        <v>13</v>
      </c>
      <c r="B17" s="13">
        <f>Início!$B$6+12</f>
        <v/>
      </c>
      <c r="C17" s="12" t="inlineStr">
        <is>
          <t>Margem</t>
        </is>
      </c>
      <c r="D17" s="12" t="inlineStr">
        <is>
          <t>Crie a regra do parcelamento</t>
        </is>
      </c>
      <c r="E17" s="12" t="inlineStr">
        <is>
          <t>Defina: desconto para Pix à vista, até quantas vezes sem juros e a partir de quando cobra juros. Use a calculadora de custo da venda a prazo.</t>
        </is>
      </c>
      <c r="F17" s="5" t="inlineStr"/>
    </row>
    <row r="18" ht="30" customHeight="1">
      <c r="A18" s="12" t="n">
        <v>14</v>
      </c>
      <c r="B18" s="13">
        <f>Início!$B$6+13</f>
        <v/>
      </c>
      <c r="C18" s="12" t="inlineStr">
        <is>
          <t>Margem</t>
        </is>
      </c>
      <c r="D18" s="12" t="inlineStr">
        <is>
          <t>Revisão da semana 2</t>
        </is>
      </c>
      <c r="E18" s="12" t="inlineStr">
        <is>
          <t>Reajuste o que estava com prejuízo, comunique o cliente com antecedência e atualize o fluxo de caixa.</t>
        </is>
      </c>
      <c r="F18" s="5" t="inlineStr"/>
    </row>
    <row r="19" ht="30" customHeight="1">
      <c r="A19" s="12" t="n">
        <v>15</v>
      </c>
      <c r="B19" s="13">
        <f>Início!$B$6+14</f>
        <v/>
      </c>
      <c r="C19" s="12" t="inlineStr">
        <is>
          <t>Caixa</t>
        </is>
      </c>
      <c r="D19" s="12" t="inlineStr">
        <is>
          <t>Coloque todas as dívidas na mesa</t>
        </is>
      </c>
      <c r="E19" s="12" t="inlineStr">
        <is>
          <t>No comparador de dívidas, lance cada empréstimo, cartão, cheque especial e parcelamento com a taxa ao mês.</t>
        </is>
      </c>
      <c r="F19" s="5" t="inlineStr"/>
    </row>
    <row r="20" ht="30" customHeight="1">
      <c r="A20" s="12" t="n">
        <v>16</v>
      </c>
      <c r="B20" s="13">
        <f>Início!$B$6+15</f>
        <v/>
      </c>
      <c r="C20" s="12" t="inlineStr">
        <is>
          <t>Caixa</t>
        </is>
      </c>
      <c r="D20" s="12" t="inlineStr">
        <is>
          <t>Descubra qual dívida está te sangrando</t>
        </is>
      </c>
      <c r="E20" s="12" t="inlineStr">
        <is>
          <t>O comparador ordena da mais cara para a mais barata e compara com a Selic. A primeira da lista é a que você ataca.</t>
        </is>
      </c>
      <c r="F20" s="5" t="inlineStr"/>
    </row>
    <row r="21" ht="30" customHeight="1">
      <c r="A21" s="12" t="n">
        <v>17</v>
      </c>
      <c r="B21" s="13">
        <f>Início!$B$6+16</f>
        <v/>
      </c>
      <c r="C21" s="12" t="inlineStr">
        <is>
          <t>Caixa</t>
        </is>
      </c>
      <c r="D21" s="12" t="inlineStr">
        <is>
          <t>Renegocie a dívida mais cara</t>
        </is>
      </c>
      <c r="E21" s="12" t="inlineStr">
        <is>
          <t>Ligue ou vá ao banco com o roteiro: peça troca por linha mais barata, carência ou alongamento. Peça a proposta por escrito com o CET.</t>
        </is>
      </c>
      <c r="F21" s="5" t="inlineStr"/>
    </row>
    <row r="22" ht="42" customHeight="1">
      <c r="A22" s="12" t="n">
        <v>18</v>
      </c>
      <c r="B22" s="13">
        <f>Início!$B$6+17</f>
        <v/>
      </c>
      <c r="C22" s="12" t="inlineStr">
        <is>
          <t>Caixa</t>
        </is>
      </c>
      <c r="D22" s="12" t="inlineStr">
        <is>
          <t>Pesquise linhas de crédito mais baratas</t>
        </is>
      </c>
      <c r="E22" s="12" t="inlineStr">
        <is>
          <t>Pergunte no seu banco e em cooperativas pelo Pronampe (teto de Selic + 6% ao ano) e por linhas com garantia do FGO/FAMPE. Só use para trocar dívida cara ou para algo que dá retorno.</t>
        </is>
      </c>
      <c r="F22" s="5" t="inlineStr"/>
    </row>
    <row r="23" ht="30" customHeight="1">
      <c r="A23" s="12" t="n">
        <v>19</v>
      </c>
      <c r="B23" s="13">
        <f>Início!$B$6+18</f>
        <v/>
      </c>
      <c r="C23" s="12" t="inlineStr">
        <is>
          <t>Caixa</t>
        </is>
      </c>
      <c r="D23" s="12" t="inlineStr">
        <is>
          <t>Ganhe prazo dos fornecedores</t>
        </is>
      </c>
      <c r="E23" s="12" t="inlineStr">
        <is>
          <t>Peça +15 dias de prazo aos 3 maiores fornecedores, oferecendo fidelidade ou volume. Prazo de fornecedor é o crédito mais barato que existe.</t>
        </is>
      </c>
      <c r="F23" s="5" t="inlineStr"/>
    </row>
    <row r="24" ht="30" customHeight="1">
      <c r="A24" s="12" t="n">
        <v>20</v>
      </c>
      <c r="B24" s="13">
        <f>Início!$B$6+19</f>
        <v/>
      </c>
      <c r="C24" s="12" t="inlineStr">
        <is>
          <t>Caixa</t>
        </is>
      </c>
      <c r="D24" s="12" t="inlineStr">
        <is>
          <t>Programe a reserva mínima</t>
        </is>
      </c>
      <c r="E24" s="12" t="inlineStr">
        <is>
          <t>Crie uma conta/caixinha separada e programe a transferência diária ou semanal da % definida. Meta: 1 mês de custo fixo; depois 3 meses.</t>
        </is>
      </c>
      <c r="F24" s="5" t="inlineStr"/>
    </row>
    <row r="25" ht="30" customHeight="1">
      <c r="A25" s="12" t="n">
        <v>21</v>
      </c>
      <c r="B25" s="13">
        <f>Início!$B$6+20</f>
        <v/>
      </c>
      <c r="C25" s="12" t="inlineStr">
        <is>
          <t>Caixa</t>
        </is>
      </c>
      <c r="D25" s="12" t="inlineStr">
        <is>
          <t>Revisão da semana 3</t>
        </is>
      </c>
      <c r="E25" s="12" t="inlineStr">
        <is>
          <t>Quanto você economizou de juros? Atualize o fluxo de 13 semanas e o fôlego.</t>
        </is>
      </c>
      <c r="F25" s="5" t="inlineStr"/>
    </row>
    <row r="26" ht="30" customHeight="1">
      <c r="A26" s="12" t="n">
        <v>22</v>
      </c>
      <c r="B26" s="13">
        <f>Início!$B$6+21</f>
        <v/>
      </c>
      <c r="C26" s="12" t="inlineStr">
        <is>
          <t>Fiscal</t>
        </is>
      </c>
      <c r="D26" s="12" t="inlineStr">
        <is>
          <t>Descubra quanto você paga de imposto</t>
        </is>
      </c>
      <c r="E26" s="12" t="inlineStr">
        <is>
          <t>Peça ao contador a alíquota efetiva dos últimos 12 meses e confirme o seu regime.</t>
        </is>
      </c>
      <c r="F26" s="5" t="inlineStr"/>
    </row>
    <row r="27" ht="30" customHeight="1">
      <c r="A27" s="12" t="n">
        <v>23</v>
      </c>
      <c r="B27" s="13">
        <f>Início!$B$6+22</f>
        <v/>
      </c>
      <c r="C27" s="12" t="inlineStr">
        <is>
          <t>Fiscal</t>
        </is>
      </c>
      <c r="D27" s="12" t="inlineStr">
        <is>
          <t>Faça o checklist da reforma</t>
        </is>
      </c>
      <c r="E27" s="12" t="inlineStr">
        <is>
          <t>Marque no painel o que já está feito e o que falta. O que faltar vira pergunta para o contador.</t>
        </is>
      </c>
      <c r="F27" s="5" t="inlineStr"/>
    </row>
    <row r="28" ht="30" customHeight="1">
      <c r="A28" s="12" t="n">
        <v>24</v>
      </c>
      <c r="B28" s="13">
        <f>Início!$B$6+23</f>
        <v/>
      </c>
      <c r="C28" s="12" t="inlineStr">
        <is>
          <t>Fiscal</t>
        </is>
      </c>
      <c r="D28" s="12" t="inlineStr">
        <is>
          <t>Confira o seu sistema de notas</t>
        </is>
      </c>
      <c r="E28" s="12" t="inlineStr">
        <is>
          <t>Pergunte ao fornecedor do sistema/PDV se a nota já sai com CBS e IBS e se está pronto para 2027.</t>
        </is>
      </c>
      <c r="F28" s="5" t="inlineStr"/>
    </row>
    <row r="29" ht="30" customHeight="1">
      <c r="A29" s="12" t="n">
        <v>25</v>
      </c>
      <c r="B29" s="13">
        <f>Início!$B$6+24</f>
        <v/>
      </c>
      <c r="C29" s="12" t="inlineStr">
        <is>
          <t>Fiscal</t>
        </is>
      </c>
      <c r="D29" s="12" t="inlineStr">
        <is>
          <t>Reunião com o contador</t>
        </is>
      </c>
      <c r="E29" s="12" t="inlineStr">
        <is>
          <t>Leve as 12 perguntas do roteiro (no painel) e anote as respostas. Peça a simulação de 2027 por escrito.</t>
        </is>
      </c>
      <c r="F29" s="5" t="inlineStr"/>
    </row>
    <row r="30" ht="84" customHeight="1">
      <c r="A30" s="12" t="n">
        <v>26</v>
      </c>
      <c r="B30" s="13">
        <f>Início!$B$6+25</f>
        <v/>
      </c>
      <c r="C30" s="12" t="inlineStr">
        <is>
          <t>Fiscal</t>
        </is>
      </c>
      <c r="D30" s="12" t="inlineStr">
        <is>
          <t>A: Atualize a tabela de preços para 2027 | B: Coloque a cláusula tributária no contrato | C: Faça o aditivo tributário nos contratos</t>
        </is>
      </c>
      <c r="E30" s="12" t="inlineStr">
        <is>
          <t>Comércio: Com o simulador e a conversa com o contador, prepare a tabela de janeiro de 2027 e o aviso aos clientes. | Serviços: Use o modelo da biblioteca e peça ao seu advogado para revisar. Aplique nos contratos novos e nas renovações. | Indústria/B2B: Use o modelo de aditivo da biblioteca, revise com o advogado e envie aos clientes com contrato longo.</t>
        </is>
      </c>
      <c r="F30" s="5" t="inlineStr"/>
    </row>
    <row r="31" ht="30" customHeight="1">
      <c r="A31" s="12" t="n">
        <v>27</v>
      </c>
      <c r="B31" s="13">
        <f>Início!$B$6+26</f>
        <v/>
      </c>
      <c r="C31" s="12" t="inlineStr">
        <is>
          <t>Fiscal</t>
        </is>
      </c>
      <c r="D31" s="12" t="inlineStr">
        <is>
          <t>Decida o caminho do Simples (se for o seu caso)</t>
        </is>
      </c>
      <c r="E31" s="12" t="inlineStr">
        <is>
          <t>Com a simulação do contador, decida: por dentro ou híbrido. A próxima janela é março de 2027 (efeito no 2º semestre).</t>
        </is>
      </c>
      <c r="F31" s="5" t="inlineStr"/>
    </row>
    <row r="32" ht="30" customHeight="1">
      <c r="A32" s="12" t="n">
        <v>28</v>
      </c>
      <c r="B32" s="13">
        <f>Início!$B$6+27</f>
        <v/>
      </c>
      <c r="C32" s="12" t="inlineStr">
        <is>
          <t>Fiscal</t>
        </is>
      </c>
      <c r="D32" s="12" t="inlineStr">
        <is>
          <t>Marque as datas no calendário</t>
        </is>
      </c>
      <c r="E32" s="12" t="inlineStr">
        <is>
          <t>15/12/2026 (alíquota oficial da CBS), 01/01/2027 (CBS começa), março/2027 (janela do Simples), 2º semestre/2027 (split payment).</t>
        </is>
      </c>
      <c r="F32" s="5" t="inlineStr"/>
    </row>
    <row r="33" ht="30" customHeight="1">
      <c r="A33" s="12" t="n">
        <v>29</v>
      </c>
      <c r="B33" s="13">
        <f>Início!$B$6+28</f>
        <v/>
      </c>
      <c r="C33" s="12" t="inlineStr">
        <is>
          <t>Caixa</t>
        </is>
      </c>
      <c r="D33" s="12" t="inlineStr">
        <is>
          <t>Refaça o diagnóstico</t>
        </is>
      </c>
      <c r="E33" s="12" t="inlineStr">
        <is>
          <t>Responda de novo as 20 perguntas e compare a nota com a do dia 1. A nota fica salva mês a mês.</t>
        </is>
      </c>
      <c r="F33" s="5" t="inlineStr"/>
    </row>
    <row r="34" ht="30" customHeight="1">
      <c r="A34" s="12" t="n">
        <v>30</v>
      </c>
      <c r="B34" s="13">
        <f>Início!$B$6+29</f>
        <v/>
      </c>
      <c r="C34" s="12" t="inlineStr">
        <is>
          <t>Caixa</t>
        </is>
      </c>
      <c r="D34" s="12" t="inlineStr">
        <is>
          <t>Planeje os próximos 60 dias</t>
        </is>
      </c>
      <c r="E34" s="12" t="inlineStr">
        <is>
          <t>Veja as metas das semanas 5 a 13 aqui no plano e escolha 1 hábito semanal fixo: toda segunda, atualizar o caixa e cobrar.</t>
        </is>
      </c>
      <c r="F34" s="5" t="inlineStr"/>
    </row>
  </sheetData>
  <conditionalFormatting sqref="A5:F34">
    <cfRule type="expression" priority="1" dxfId="0">
      <formula>$F5="OK"</formula>
    </cfRule>
    <cfRule type="expression" priority="2" dxfId="1">
      <formula>AND($B5=TODAY(),$F5&lt;&gt;"OK")</formula>
    </cfRule>
  </conditionalFormatting>
  <dataValidations count="1">
    <dataValidation sqref="F5:F34" showDropDown="0" showInputMessage="0" showErrorMessage="0" allowBlank="0" type="list">
      <formula1>"OK,Em andamento,Pendente"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ht="30" customHeight="1">
      <c r="A1" s="1" t="inlineStr">
        <is>
          <t>Fluxo de caixa · 13 semanas</t>
        </is>
      </c>
      <c r="B1" s="2" t="n"/>
      <c r="C1" s="2" t="n"/>
      <c r="D1" s="2" t="n"/>
      <c r="E1" s="2" t="n"/>
      <c r="F1" s="2" t="n"/>
      <c r="G1" s="2" t="n"/>
      <c r="H1" s="2" t="n"/>
      <c r="I1" s="2" t="n"/>
      <c r="J1" s="2" t="n"/>
      <c r="K1" s="2" t="n"/>
      <c r="L1" s="2" t="n"/>
      <c r="M1" s="2" t="n"/>
      <c r="N1" s="2" t="n"/>
      <c r="O1" s="2" t="n"/>
      <c r="P1" s="2" t="n"/>
    </row>
    <row r="2">
      <c r="A2" s="3" t="inlineStr">
        <is>
          <t>Preencha entradas e saídas previstas. Toda segunda: troque previsto por realizado.</t>
        </is>
      </c>
      <c r="B2" s="2" t="n"/>
      <c r="C2" s="2" t="n"/>
      <c r="D2" s="2" t="n"/>
      <c r="E2" s="2" t="n"/>
      <c r="F2" s="2" t="n"/>
      <c r="G2" s="2" t="n"/>
      <c r="H2" s="2" t="n"/>
      <c r="I2" s="2" t="n"/>
      <c r="J2" s="2" t="n"/>
      <c r="K2" s="2" t="n"/>
      <c r="L2" s="2" t="n"/>
      <c r="M2" s="2" t="n"/>
      <c r="N2" s="2" t="n"/>
      <c r="O2" s="2" t="n"/>
      <c r="P2" s="2" t="n"/>
    </row>
    <row r="3"/>
    <row r="4">
      <c r="A4" s="8" t="inlineStr">
        <is>
          <t>Semana</t>
        </is>
      </c>
      <c r="B4" s="8" t="inlineStr">
        <is>
          <t>S1</t>
        </is>
      </c>
      <c r="C4" s="8" t="inlineStr">
        <is>
          <t>S2</t>
        </is>
      </c>
      <c r="D4" s="8" t="inlineStr">
        <is>
          <t>S3</t>
        </is>
      </c>
      <c r="E4" s="8" t="inlineStr">
        <is>
          <t>S4</t>
        </is>
      </c>
      <c r="F4" s="8" t="inlineStr">
        <is>
          <t>S5</t>
        </is>
      </c>
      <c r="G4" s="8" t="inlineStr">
        <is>
          <t>S6</t>
        </is>
      </c>
      <c r="H4" s="8" t="inlineStr">
        <is>
          <t>S7</t>
        </is>
      </c>
      <c r="I4" s="8" t="inlineStr">
        <is>
          <t>S8</t>
        </is>
      </c>
      <c r="J4" s="8" t="inlineStr">
        <is>
          <t>S9</t>
        </is>
      </c>
      <c r="K4" s="8" t="inlineStr">
        <is>
          <t>S10</t>
        </is>
      </c>
      <c r="L4" s="8" t="inlineStr">
        <is>
          <t>S11</t>
        </is>
      </c>
      <c r="M4" s="8" t="inlineStr">
        <is>
          <t>S12</t>
        </is>
      </c>
      <c r="N4" s="8" t="inlineStr">
        <is>
          <t>S13</t>
        </is>
      </c>
      <c r="O4" s="8" t="inlineStr">
        <is>
          <t>Total</t>
        </is>
      </c>
    </row>
    <row r="5">
      <c r="A5" s="4" t="inlineStr">
        <is>
          <t>Começa em</t>
        </is>
      </c>
      <c r="B5" s="14">
        <f>Início!B6+0</f>
        <v/>
      </c>
      <c r="C5" s="14">
        <f>Início!B6+7</f>
        <v/>
      </c>
      <c r="D5" s="14">
        <f>Início!B6+14</f>
        <v/>
      </c>
      <c r="E5" s="14">
        <f>Início!B6+21</f>
        <v/>
      </c>
      <c r="F5" s="14">
        <f>Início!B6+28</f>
        <v/>
      </c>
      <c r="G5" s="14">
        <f>Início!B6+35</f>
        <v/>
      </c>
      <c r="H5" s="14">
        <f>Início!B6+42</f>
        <v/>
      </c>
      <c r="I5" s="14">
        <f>Início!B6+49</f>
        <v/>
      </c>
      <c r="J5" s="14">
        <f>Início!B6+56</f>
        <v/>
      </c>
      <c r="K5" s="14">
        <f>Início!B6+63</f>
        <v/>
      </c>
      <c r="L5" s="14">
        <f>Início!B6+70</f>
        <v/>
      </c>
      <c r="M5" s="14">
        <f>Início!B6+77</f>
        <v/>
      </c>
      <c r="N5" s="14">
        <f>Início!B6+84</f>
        <v/>
      </c>
    </row>
    <row r="6">
      <c r="A6" s="15" t="inlineStr">
        <is>
          <t>ENTRADAS</t>
        </is>
      </c>
    </row>
    <row r="7">
      <c r="A7" s="16" t="inlineStr">
        <is>
          <t>Vendas à vista / Pix</t>
        </is>
      </c>
      <c r="B7" s="17" t="n">
        <v>0</v>
      </c>
      <c r="C7" s="17" t="n">
        <v>0</v>
      </c>
      <c r="D7" s="17" t="n">
        <v>0</v>
      </c>
      <c r="E7" s="17" t="n">
        <v>0</v>
      </c>
      <c r="F7" s="17" t="n">
        <v>0</v>
      </c>
      <c r="G7" s="17" t="n">
        <v>0</v>
      </c>
      <c r="H7" s="17" t="n">
        <v>0</v>
      </c>
      <c r="I7" s="17" t="n">
        <v>0</v>
      </c>
      <c r="J7" s="17" t="n">
        <v>0</v>
      </c>
      <c r="K7" s="17" t="n">
        <v>0</v>
      </c>
      <c r="L7" s="17" t="n">
        <v>0</v>
      </c>
      <c r="M7" s="17" t="n">
        <v>0</v>
      </c>
      <c r="N7" s="17" t="n">
        <v>0</v>
      </c>
      <c r="O7" s="11">
        <f>SUM(B7:N7)</f>
        <v/>
      </c>
    </row>
    <row r="8">
      <c r="A8" s="16" t="inlineStr">
        <is>
          <t>Cartão (o que cai na conta)</t>
        </is>
      </c>
      <c r="B8" s="17" t="n">
        <v>0</v>
      </c>
      <c r="C8" s="17" t="n">
        <v>0</v>
      </c>
      <c r="D8" s="17" t="n">
        <v>0</v>
      </c>
      <c r="E8" s="17" t="n">
        <v>0</v>
      </c>
      <c r="F8" s="17" t="n">
        <v>0</v>
      </c>
      <c r="G8" s="17" t="n">
        <v>0</v>
      </c>
      <c r="H8" s="17" t="n">
        <v>0</v>
      </c>
      <c r="I8" s="17" t="n">
        <v>0</v>
      </c>
      <c r="J8" s="17" t="n">
        <v>0</v>
      </c>
      <c r="K8" s="17" t="n">
        <v>0</v>
      </c>
      <c r="L8" s="17" t="n">
        <v>0</v>
      </c>
      <c r="M8" s="17" t="n">
        <v>0</v>
      </c>
      <c r="N8" s="17" t="n">
        <v>0</v>
      </c>
      <c r="O8" s="11">
        <f>SUM(B8:N8)</f>
        <v/>
      </c>
    </row>
    <row r="9">
      <c r="A9" s="16" t="inlineStr">
        <is>
          <t>Boletos / duplicatas a receber</t>
        </is>
      </c>
      <c r="B9" s="17" t="n">
        <v>0</v>
      </c>
      <c r="C9" s="17" t="n">
        <v>0</v>
      </c>
      <c r="D9" s="17" t="n">
        <v>0</v>
      </c>
      <c r="E9" s="17" t="n">
        <v>0</v>
      </c>
      <c r="F9" s="17" t="n">
        <v>0</v>
      </c>
      <c r="G9" s="17" t="n">
        <v>0</v>
      </c>
      <c r="H9" s="17" t="n">
        <v>0</v>
      </c>
      <c r="I9" s="17" t="n">
        <v>0</v>
      </c>
      <c r="J9" s="17" t="n">
        <v>0</v>
      </c>
      <c r="K9" s="17" t="n">
        <v>0</v>
      </c>
      <c r="L9" s="17" t="n">
        <v>0</v>
      </c>
      <c r="M9" s="17" t="n">
        <v>0</v>
      </c>
      <c r="N9" s="17" t="n">
        <v>0</v>
      </c>
      <c r="O9" s="11">
        <f>SUM(B9:N9)</f>
        <v/>
      </c>
    </row>
    <row r="10">
      <c r="A10" s="16" t="inlineStr">
        <is>
          <t>Outras entradas</t>
        </is>
      </c>
      <c r="B10" s="17" t="n">
        <v>0</v>
      </c>
      <c r="C10" s="17" t="n">
        <v>0</v>
      </c>
      <c r="D10" s="17" t="n">
        <v>0</v>
      </c>
      <c r="E10" s="17" t="n">
        <v>0</v>
      </c>
      <c r="F10" s="17" t="n">
        <v>0</v>
      </c>
      <c r="G10" s="17" t="n">
        <v>0</v>
      </c>
      <c r="H10" s="17" t="n">
        <v>0</v>
      </c>
      <c r="I10" s="17" t="n">
        <v>0</v>
      </c>
      <c r="J10" s="17" t="n">
        <v>0</v>
      </c>
      <c r="K10" s="17" t="n">
        <v>0</v>
      </c>
      <c r="L10" s="17" t="n">
        <v>0</v>
      </c>
      <c r="M10" s="17" t="n">
        <v>0</v>
      </c>
      <c r="N10" s="17" t="n">
        <v>0</v>
      </c>
      <c r="O10" s="11">
        <f>SUM(B10:N10)</f>
        <v/>
      </c>
    </row>
    <row r="11">
      <c r="A11" s="4" t="inlineStr">
        <is>
          <t>Total de entradas</t>
        </is>
      </c>
      <c r="B11" s="11">
        <f>SUM(B7:B10)</f>
        <v/>
      </c>
      <c r="C11" s="11">
        <f>SUM(C7:C10)</f>
        <v/>
      </c>
      <c r="D11" s="11">
        <f>SUM(D7:D10)</f>
        <v/>
      </c>
      <c r="E11" s="11">
        <f>SUM(E7:E10)</f>
        <v/>
      </c>
      <c r="F11" s="11">
        <f>SUM(F7:F10)</f>
        <v/>
      </c>
      <c r="G11" s="11">
        <f>SUM(G7:G10)</f>
        <v/>
      </c>
      <c r="H11" s="11">
        <f>SUM(H7:H10)</f>
        <v/>
      </c>
      <c r="I11" s="11">
        <f>SUM(I7:I10)</f>
        <v/>
      </c>
      <c r="J11" s="11">
        <f>SUM(J7:J10)</f>
        <v/>
      </c>
      <c r="K11" s="11">
        <f>SUM(K7:K10)</f>
        <v/>
      </c>
      <c r="L11" s="11">
        <f>SUM(L7:L10)</f>
        <v/>
      </c>
      <c r="M11" s="11">
        <f>SUM(M7:M10)</f>
        <v/>
      </c>
      <c r="N11" s="11">
        <f>SUM(N7:N10)</f>
        <v/>
      </c>
      <c r="O11" s="11">
        <f>SUM(O7:O10)</f>
        <v/>
      </c>
    </row>
    <row r="12">
      <c r="A12" s="18" t="inlineStr">
        <is>
          <t>SAÍDAS</t>
        </is>
      </c>
    </row>
    <row r="13">
      <c r="A13" s="16" t="inlineStr">
        <is>
          <t>Fornecedores / mercadoria</t>
        </is>
      </c>
      <c r="B13" s="17" t="n">
        <v>0</v>
      </c>
      <c r="C13" s="17" t="n">
        <v>0</v>
      </c>
      <c r="D13" s="17" t="n">
        <v>0</v>
      </c>
      <c r="E13" s="17" t="n">
        <v>0</v>
      </c>
      <c r="F13" s="17" t="n">
        <v>0</v>
      </c>
      <c r="G13" s="17" t="n">
        <v>0</v>
      </c>
      <c r="H13" s="17" t="n">
        <v>0</v>
      </c>
      <c r="I13" s="17" t="n">
        <v>0</v>
      </c>
      <c r="J13" s="17" t="n">
        <v>0</v>
      </c>
      <c r="K13" s="17" t="n">
        <v>0</v>
      </c>
      <c r="L13" s="17" t="n">
        <v>0</v>
      </c>
      <c r="M13" s="17" t="n">
        <v>0</v>
      </c>
      <c r="N13" s="17" t="n">
        <v>0</v>
      </c>
      <c r="O13" s="11">
        <f>SUM(B13:N13)</f>
        <v/>
      </c>
    </row>
    <row r="14">
      <c r="A14" s="16" t="inlineStr">
        <is>
          <t>Folha + encargos</t>
        </is>
      </c>
      <c r="B14" s="17" t="n">
        <v>0</v>
      </c>
      <c r="C14" s="17" t="n">
        <v>0</v>
      </c>
      <c r="D14" s="17" t="n">
        <v>0</v>
      </c>
      <c r="E14" s="17" t="n">
        <v>0</v>
      </c>
      <c r="F14" s="17" t="n">
        <v>0</v>
      </c>
      <c r="G14" s="17" t="n">
        <v>0</v>
      </c>
      <c r="H14" s="17" t="n">
        <v>0</v>
      </c>
      <c r="I14" s="17" t="n">
        <v>0</v>
      </c>
      <c r="J14" s="17" t="n">
        <v>0</v>
      </c>
      <c r="K14" s="17" t="n">
        <v>0</v>
      </c>
      <c r="L14" s="17" t="n">
        <v>0</v>
      </c>
      <c r="M14" s="17" t="n">
        <v>0</v>
      </c>
      <c r="N14" s="17" t="n">
        <v>0</v>
      </c>
      <c r="O14" s="11">
        <f>SUM(B14:N14)</f>
        <v/>
      </c>
    </row>
    <row r="15">
      <c r="A15" s="16" t="inlineStr">
        <is>
          <t>Pró-labore</t>
        </is>
      </c>
      <c r="B15" s="17" t="n">
        <v>0</v>
      </c>
      <c r="C15" s="17" t="n">
        <v>0</v>
      </c>
      <c r="D15" s="17" t="n">
        <v>0</v>
      </c>
      <c r="E15" s="17" t="n">
        <v>0</v>
      </c>
      <c r="F15" s="17" t="n">
        <v>0</v>
      </c>
      <c r="G15" s="17" t="n">
        <v>0</v>
      </c>
      <c r="H15" s="17" t="n">
        <v>0</v>
      </c>
      <c r="I15" s="17" t="n">
        <v>0</v>
      </c>
      <c r="J15" s="17" t="n">
        <v>0</v>
      </c>
      <c r="K15" s="17" t="n">
        <v>0</v>
      </c>
      <c r="L15" s="17" t="n">
        <v>0</v>
      </c>
      <c r="M15" s="17" t="n">
        <v>0</v>
      </c>
      <c r="N15" s="17" t="n">
        <v>0</v>
      </c>
      <c r="O15" s="11">
        <f>SUM(B15:N15)</f>
        <v/>
      </c>
    </row>
    <row r="16">
      <c r="A16" s="16" t="inlineStr">
        <is>
          <t>Aluguel e condomínio</t>
        </is>
      </c>
      <c r="B16" s="17" t="n">
        <v>0</v>
      </c>
      <c r="C16" s="17" t="n">
        <v>0</v>
      </c>
      <c r="D16" s="17" t="n">
        <v>0</v>
      </c>
      <c r="E16" s="17" t="n">
        <v>0</v>
      </c>
      <c r="F16" s="17" t="n">
        <v>0</v>
      </c>
      <c r="G16" s="17" t="n">
        <v>0</v>
      </c>
      <c r="H16" s="17" t="n">
        <v>0</v>
      </c>
      <c r="I16" s="17" t="n">
        <v>0</v>
      </c>
      <c r="J16" s="17" t="n">
        <v>0</v>
      </c>
      <c r="K16" s="17" t="n">
        <v>0</v>
      </c>
      <c r="L16" s="17" t="n">
        <v>0</v>
      </c>
      <c r="M16" s="17" t="n">
        <v>0</v>
      </c>
      <c r="N16" s="17" t="n">
        <v>0</v>
      </c>
      <c r="O16" s="11">
        <f>SUM(B16:N16)</f>
        <v/>
      </c>
    </row>
    <row r="17">
      <c r="A17" s="16" t="inlineStr">
        <is>
          <t>Água, luz, internet, sistemas</t>
        </is>
      </c>
      <c r="B17" s="17" t="n">
        <v>0</v>
      </c>
      <c r="C17" s="17" t="n">
        <v>0</v>
      </c>
      <c r="D17" s="17" t="n">
        <v>0</v>
      </c>
      <c r="E17" s="17" t="n">
        <v>0</v>
      </c>
      <c r="F17" s="17" t="n">
        <v>0</v>
      </c>
      <c r="G17" s="17" t="n">
        <v>0</v>
      </c>
      <c r="H17" s="17" t="n">
        <v>0</v>
      </c>
      <c r="I17" s="17" t="n">
        <v>0</v>
      </c>
      <c r="J17" s="17" t="n">
        <v>0</v>
      </c>
      <c r="K17" s="17" t="n">
        <v>0</v>
      </c>
      <c r="L17" s="17" t="n">
        <v>0</v>
      </c>
      <c r="M17" s="17" t="n">
        <v>0</v>
      </c>
      <c r="N17" s="17" t="n">
        <v>0</v>
      </c>
      <c r="O17" s="11">
        <f>SUM(B17:N17)</f>
        <v/>
      </c>
    </row>
    <row r="18">
      <c r="A18" s="16" t="inlineStr">
        <is>
          <t>Impostos (DAS, guias)</t>
        </is>
      </c>
      <c r="B18" s="17" t="n">
        <v>0</v>
      </c>
      <c r="C18" s="17" t="n">
        <v>0</v>
      </c>
      <c r="D18" s="17" t="n">
        <v>0</v>
      </c>
      <c r="E18" s="17" t="n">
        <v>0</v>
      </c>
      <c r="F18" s="17" t="n">
        <v>0</v>
      </c>
      <c r="G18" s="17" t="n">
        <v>0</v>
      </c>
      <c r="H18" s="17" t="n">
        <v>0</v>
      </c>
      <c r="I18" s="17" t="n">
        <v>0</v>
      </c>
      <c r="J18" s="17" t="n">
        <v>0</v>
      </c>
      <c r="K18" s="17" t="n">
        <v>0</v>
      </c>
      <c r="L18" s="17" t="n">
        <v>0</v>
      </c>
      <c r="M18" s="17" t="n">
        <v>0</v>
      </c>
      <c r="N18" s="17" t="n">
        <v>0</v>
      </c>
      <c r="O18" s="11">
        <f>SUM(B18:N18)</f>
        <v/>
      </c>
    </row>
    <row r="19">
      <c r="A19" s="16" t="inlineStr">
        <is>
          <t>Parcelas de empréstimos</t>
        </is>
      </c>
      <c r="B19" s="17" t="n">
        <v>0</v>
      </c>
      <c r="C19" s="17" t="n">
        <v>0</v>
      </c>
      <c r="D19" s="17" t="n">
        <v>0</v>
      </c>
      <c r="E19" s="17" t="n">
        <v>0</v>
      </c>
      <c r="F19" s="17" t="n">
        <v>0</v>
      </c>
      <c r="G19" s="17" t="n">
        <v>0</v>
      </c>
      <c r="H19" s="17" t="n">
        <v>0</v>
      </c>
      <c r="I19" s="17" t="n">
        <v>0</v>
      </c>
      <c r="J19" s="17" t="n">
        <v>0</v>
      </c>
      <c r="K19" s="17" t="n">
        <v>0</v>
      </c>
      <c r="L19" s="17" t="n">
        <v>0</v>
      </c>
      <c r="M19" s="17" t="n">
        <v>0</v>
      </c>
      <c r="N19" s="17" t="n">
        <v>0</v>
      </c>
      <c r="O19" s="11">
        <f>SUM(B19:N19)</f>
        <v/>
      </c>
    </row>
    <row r="20">
      <c r="A20" s="16" t="inlineStr">
        <is>
          <t>Marketing</t>
        </is>
      </c>
      <c r="B20" s="17" t="n">
        <v>0</v>
      </c>
      <c r="C20" s="17" t="n">
        <v>0</v>
      </c>
      <c r="D20" s="17" t="n">
        <v>0</v>
      </c>
      <c r="E20" s="17" t="n">
        <v>0</v>
      </c>
      <c r="F20" s="17" t="n">
        <v>0</v>
      </c>
      <c r="G20" s="17" t="n">
        <v>0</v>
      </c>
      <c r="H20" s="17" t="n">
        <v>0</v>
      </c>
      <c r="I20" s="17" t="n">
        <v>0</v>
      </c>
      <c r="J20" s="17" t="n">
        <v>0</v>
      </c>
      <c r="K20" s="17" t="n">
        <v>0</v>
      </c>
      <c r="L20" s="17" t="n">
        <v>0</v>
      </c>
      <c r="M20" s="17" t="n">
        <v>0</v>
      </c>
      <c r="N20" s="17" t="n">
        <v>0</v>
      </c>
      <c r="O20" s="11">
        <f>SUM(B20:N20)</f>
        <v/>
      </c>
    </row>
    <row r="21">
      <c r="A21" s="16" t="inlineStr">
        <is>
          <t>Outras saídas</t>
        </is>
      </c>
      <c r="B21" s="17" t="n">
        <v>0</v>
      </c>
      <c r="C21" s="17" t="n">
        <v>0</v>
      </c>
      <c r="D21" s="17" t="n">
        <v>0</v>
      </c>
      <c r="E21" s="17" t="n">
        <v>0</v>
      </c>
      <c r="F21" s="17" t="n">
        <v>0</v>
      </c>
      <c r="G21" s="17" t="n">
        <v>0</v>
      </c>
      <c r="H21" s="17" t="n">
        <v>0</v>
      </c>
      <c r="I21" s="17" t="n">
        <v>0</v>
      </c>
      <c r="J21" s="17" t="n">
        <v>0</v>
      </c>
      <c r="K21" s="17" t="n">
        <v>0</v>
      </c>
      <c r="L21" s="17" t="n">
        <v>0</v>
      </c>
      <c r="M21" s="17" t="n">
        <v>0</v>
      </c>
      <c r="N21" s="17" t="n">
        <v>0</v>
      </c>
      <c r="O21" s="11">
        <f>SUM(B21:N21)</f>
        <v/>
      </c>
    </row>
    <row r="22">
      <c r="A22" s="4" t="inlineStr">
        <is>
          <t>Total de saídas</t>
        </is>
      </c>
      <c r="B22" s="11">
        <f>SUM(B13:B21)</f>
        <v/>
      </c>
      <c r="C22" s="11">
        <f>SUM(C13:C21)</f>
        <v/>
      </c>
      <c r="D22" s="11">
        <f>SUM(D13:D21)</f>
        <v/>
      </c>
      <c r="E22" s="11">
        <f>SUM(E13:E21)</f>
        <v/>
      </c>
      <c r="F22" s="11">
        <f>SUM(F13:F21)</f>
        <v/>
      </c>
      <c r="G22" s="11">
        <f>SUM(G13:G21)</f>
        <v/>
      </c>
      <c r="H22" s="11">
        <f>SUM(H13:H21)</f>
        <v/>
      </c>
      <c r="I22" s="11">
        <f>SUM(I13:I21)</f>
        <v/>
      </c>
      <c r="J22" s="11">
        <f>SUM(J13:J21)</f>
        <v/>
      </c>
      <c r="K22" s="11">
        <f>SUM(K13:K21)</f>
        <v/>
      </c>
      <c r="L22" s="11">
        <f>SUM(L13:L21)</f>
        <v/>
      </c>
      <c r="M22" s="11">
        <f>SUM(M13:M21)</f>
        <v/>
      </c>
      <c r="N22" s="11">
        <f>SUM(N13:N21)</f>
        <v/>
      </c>
      <c r="O22" s="11">
        <f>SUM(O13:O21)</f>
        <v/>
      </c>
    </row>
    <row r="23"/>
    <row r="24">
      <c r="A24" s="4" t="inlineStr">
        <is>
          <t>Saldo inicial da semana</t>
        </is>
      </c>
      <c r="B24" s="11">
        <f>Início!B7</f>
        <v/>
      </c>
      <c r="C24" s="11">
        <f>B26</f>
        <v/>
      </c>
      <c r="D24" s="11">
        <f>C26</f>
        <v/>
      </c>
      <c r="E24" s="11">
        <f>D26</f>
        <v/>
      </c>
      <c r="F24" s="11">
        <f>E26</f>
        <v/>
      </c>
      <c r="G24" s="11">
        <f>F26</f>
        <v/>
      </c>
      <c r="H24" s="11">
        <f>G26</f>
        <v/>
      </c>
      <c r="I24" s="11">
        <f>H26</f>
        <v/>
      </c>
      <c r="J24" s="11">
        <f>I26</f>
        <v/>
      </c>
      <c r="K24" s="11">
        <f>J26</f>
        <v/>
      </c>
      <c r="L24" s="11">
        <f>K26</f>
        <v/>
      </c>
      <c r="M24" s="11">
        <f>L26</f>
        <v/>
      </c>
      <c r="N24" s="11">
        <f>M26</f>
        <v/>
      </c>
    </row>
    <row r="25">
      <c r="A25" s="4" t="inlineStr">
        <is>
          <t>Resultado da semana</t>
        </is>
      </c>
      <c r="B25" s="11">
        <f>B11-B22</f>
        <v/>
      </c>
      <c r="C25" s="11">
        <f>C11-C22</f>
        <v/>
      </c>
      <c r="D25" s="11">
        <f>D11-D22</f>
        <v/>
      </c>
      <c r="E25" s="11">
        <f>E11-E22</f>
        <v/>
      </c>
      <c r="F25" s="11">
        <f>F11-F22</f>
        <v/>
      </c>
      <c r="G25" s="11">
        <f>G11-G22</f>
        <v/>
      </c>
      <c r="H25" s="11">
        <f>H11-H22</f>
        <v/>
      </c>
      <c r="I25" s="11">
        <f>I11-I22</f>
        <v/>
      </c>
      <c r="J25" s="11">
        <f>J11-J22</f>
        <v/>
      </c>
      <c r="K25" s="11">
        <f>K11-K22</f>
        <v/>
      </c>
      <c r="L25" s="11">
        <f>L11-L22</f>
        <v/>
      </c>
      <c r="M25" s="11">
        <f>M11-M22</f>
        <v/>
      </c>
      <c r="N25" s="11">
        <f>N11-N22</f>
        <v/>
      </c>
    </row>
    <row r="26">
      <c r="A26" s="4" t="inlineStr">
        <is>
          <t>SALDO FINAL</t>
        </is>
      </c>
      <c r="B26" s="11">
        <f>B24+B25</f>
        <v/>
      </c>
      <c r="C26" s="11">
        <f>C24+C25</f>
        <v/>
      </c>
      <c r="D26" s="11">
        <f>D24+D25</f>
        <v/>
      </c>
      <c r="E26" s="11">
        <f>E24+E25</f>
        <v/>
      </c>
      <c r="F26" s="11">
        <f>F24+F25</f>
        <v/>
      </c>
      <c r="G26" s="11">
        <f>G24+G25</f>
        <v/>
      </c>
      <c r="H26" s="11">
        <f>H24+H25</f>
        <v/>
      </c>
      <c r="I26" s="11">
        <f>I24+I25</f>
        <v/>
      </c>
      <c r="J26" s="11">
        <f>J24+J25</f>
        <v/>
      </c>
      <c r="K26" s="11">
        <f>K24+K25</f>
        <v/>
      </c>
      <c r="L26" s="11">
        <f>L24+L25</f>
        <v/>
      </c>
      <c r="M26" s="11">
        <f>M24+M25</f>
        <v/>
      </c>
      <c r="N26" s="11">
        <f>N24+N25</f>
        <v/>
      </c>
    </row>
    <row r="27">
      <c r="A27" s="4" t="inlineStr">
        <is>
          <t>Acima da reserva mínima?</t>
        </is>
      </c>
      <c r="B27" s="19">
        <f>IF(B26&lt;0,"NEGATIVO",IF(B26&lt;Início!B8,"Abaixo","OK"))</f>
        <v/>
      </c>
      <c r="C27" s="19">
        <f>IF(C26&lt;0,"NEGATIVO",IF(C26&lt;Início!B8,"Abaixo","OK"))</f>
        <v/>
      </c>
      <c r="D27" s="19">
        <f>IF(D26&lt;0,"NEGATIVO",IF(D26&lt;Início!B8,"Abaixo","OK"))</f>
        <v/>
      </c>
      <c r="E27" s="19">
        <f>IF(E26&lt;0,"NEGATIVO",IF(E26&lt;Início!B8,"Abaixo","OK"))</f>
        <v/>
      </c>
      <c r="F27" s="19">
        <f>IF(F26&lt;0,"NEGATIVO",IF(F26&lt;Início!B8,"Abaixo","OK"))</f>
        <v/>
      </c>
      <c r="G27" s="19">
        <f>IF(G26&lt;0,"NEGATIVO",IF(G26&lt;Início!B8,"Abaixo","OK"))</f>
        <v/>
      </c>
      <c r="H27" s="19">
        <f>IF(H26&lt;0,"NEGATIVO",IF(H26&lt;Início!B8,"Abaixo","OK"))</f>
        <v/>
      </c>
      <c r="I27" s="19">
        <f>IF(I26&lt;0,"NEGATIVO",IF(I26&lt;Início!B8,"Abaixo","OK"))</f>
        <v/>
      </c>
      <c r="J27" s="19">
        <f>IF(J26&lt;0,"NEGATIVO",IF(J26&lt;Início!B8,"Abaixo","OK"))</f>
        <v/>
      </c>
      <c r="K27" s="19">
        <f>IF(K26&lt;0,"NEGATIVO",IF(K26&lt;Início!B8,"Abaixo","OK"))</f>
        <v/>
      </c>
      <c r="L27" s="19">
        <f>IF(L26&lt;0,"NEGATIVO",IF(L26&lt;Início!B8,"Abaixo","OK"))</f>
        <v/>
      </c>
      <c r="M27" s="19">
        <f>IF(M26&lt;0,"NEGATIVO",IF(M26&lt;Início!B8,"Abaixo","OK"))</f>
        <v/>
      </c>
      <c r="N27" s="19">
        <f>IF(N26&lt;0,"NEGATIVO",IF(N26&lt;Início!B8,"Abaixo","OK"))</f>
        <v/>
      </c>
    </row>
    <row r="28"/>
    <row r="29">
      <c r="A29" s="4" t="inlineStr">
        <is>
          <t>Menor saldo previsto</t>
        </is>
      </c>
      <c r="B29" s="11">
        <f>MIN(B26:N26)</f>
        <v/>
      </c>
    </row>
    <row r="30">
      <c r="A30" s="4" t="inlineStr">
        <is>
          <t>Primeira semana negativa</t>
        </is>
      </c>
      <c r="B30" s="9">
        <f>IFERROR("S"&amp;MATCH(TRUE,INDEX(B26:N26&lt;0,0),0),"Nenhuma")</f>
        <v/>
      </c>
    </row>
  </sheetData>
  <conditionalFormatting sqref="B26:N26">
    <cfRule type="cellIs" priority="1" operator="lessThan" dxfId="2">
      <formula>0</formula>
    </cfRule>
  </conditionalFormatting>
  <conditionalFormatting sqref="B27:N27">
    <cfRule type="cellIs" priority="2" operator="equal" dxfId="3">
      <formula>"NEGATIVO"</formula>
    </cfRule>
    <cfRule type="cellIs" priority="3" operator="equal" dxfId="1">
      <formula>"Abaixo"</formula>
    </cfRule>
    <cfRule type="cellIs" priority="4" operator="equal" dxfId="0">
      <formula>"OK"</formula>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28"/>
  <sheetViews>
    <sheetView showGridLines="0" workbookViewId="0">
      <selection activeCell="A1" sqref="A1"/>
    </sheetView>
  </sheetViews>
  <sheetFormatPr baseColWidth="8" defaultRowHeight="15"/>
  <cols>
    <col width="10" customWidth="1" min="1" max="1"/>
    <col width="14" customWidth="1" min="2" max="2"/>
    <col width="11" customWidth="1" min="3" max="3"/>
    <col width="11" customWidth="1" min="4" max="4"/>
    <col width="11" customWidth="1" min="5" max="5"/>
    <col width="22" customWidth="1" min="6" max="6"/>
  </cols>
  <sheetData>
    <row r="1" ht="30" customHeight="1">
      <c r="A1" s="1" t="inlineStr">
        <is>
          <t>Nota mês a mês</t>
        </is>
      </c>
      <c r="B1" s="2" t="n"/>
      <c r="C1" s="2" t="n"/>
      <c r="D1" s="2" t="n"/>
      <c r="E1" s="2" t="n"/>
      <c r="F1" s="2" t="n"/>
    </row>
    <row r="2">
      <c r="A2" s="3" t="inlineStr">
        <is>
          <t>Refaça o diagnóstico no app 1 vez por mês e copie as notas</t>
        </is>
      </c>
      <c r="B2" s="2" t="n"/>
      <c r="C2" s="2" t="n"/>
      <c r="D2" s="2" t="n"/>
      <c r="E2" s="2" t="n"/>
      <c r="F2" s="2" t="n"/>
    </row>
    <row r="4">
      <c r="A4" s="8" t="inlineStr">
        <is>
          <t>Mês</t>
        </is>
      </c>
      <c r="B4" s="8" t="inlineStr">
        <is>
          <t>Nota (0–100)</t>
        </is>
      </c>
      <c r="C4" s="8" t="inlineStr">
        <is>
          <t>Caixa %</t>
        </is>
      </c>
      <c r="D4" s="8" t="inlineStr">
        <is>
          <t>Margem %</t>
        </is>
      </c>
      <c r="E4" s="8" t="inlineStr">
        <is>
          <t>Fiscal %</t>
        </is>
      </c>
      <c r="F4" s="8" t="inlineStr">
        <is>
          <t>Faixa</t>
        </is>
      </c>
    </row>
    <row r="5">
      <c r="A5" s="20">
        <f>DATE(YEAR(Início!$B$6),MONTH(Início!$B$6)+0,1)</f>
        <v/>
      </c>
      <c r="B5" s="5" t="n"/>
      <c r="C5" s="5" t="n"/>
      <c r="D5" s="5" t="n"/>
      <c r="E5" s="5" t="n"/>
      <c r="F5" s="19">
        <f>IF(B5="","",IF(B5&lt;40,"Zona de risco",IF(B5&lt;70,"Atenção","Blindado em construção")))</f>
        <v/>
      </c>
    </row>
    <row r="6">
      <c r="A6" s="20">
        <f>DATE(YEAR(Início!$B$6),MONTH(Início!$B$6)+1,1)</f>
        <v/>
      </c>
      <c r="B6" s="5" t="n"/>
      <c r="C6" s="5" t="n"/>
      <c r="D6" s="5" t="n"/>
      <c r="E6" s="5" t="n"/>
      <c r="F6" s="19">
        <f>IF(B6="","",IF(B6&lt;40,"Zona de risco",IF(B6&lt;70,"Atenção","Blindado em construção")))</f>
        <v/>
      </c>
    </row>
    <row r="7">
      <c r="A7" s="20">
        <f>DATE(YEAR(Início!$B$6),MONTH(Início!$B$6)+2,1)</f>
        <v/>
      </c>
      <c r="B7" s="5" t="n"/>
      <c r="C7" s="5" t="n"/>
      <c r="D7" s="5" t="n"/>
      <c r="E7" s="5" t="n"/>
      <c r="F7" s="19">
        <f>IF(B7="","",IF(B7&lt;40,"Zona de risco",IF(B7&lt;70,"Atenção","Blindado em construção")))</f>
        <v/>
      </c>
    </row>
    <row r="8">
      <c r="A8" s="20">
        <f>DATE(YEAR(Início!$B$6),MONTH(Início!$B$6)+3,1)</f>
        <v/>
      </c>
      <c r="B8" s="5" t="n"/>
      <c r="C8" s="5" t="n"/>
      <c r="D8" s="5" t="n"/>
      <c r="E8" s="5" t="n"/>
      <c r="F8" s="19">
        <f>IF(B8="","",IF(B8&lt;40,"Zona de risco",IF(B8&lt;70,"Atenção","Blindado em construção")))</f>
        <v/>
      </c>
    </row>
    <row r="9">
      <c r="A9" s="20">
        <f>DATE(YEAR(Início!$B$6),MONTH(Início!$B$6)+4,1)</f>
        <v/>
      </c>
      <c r="B9" s="5" t="n"/>
      <c r="C9" s="5" t="n"/>
      <c r="D9" s="5" t="n"/>
      <c r="E9" s="5" t="n"/>
      <c r="F9" s="19">
        <f>IF(B9="","",IF(B9&lt;40,"Zona de risco",IF(B9&lt;70,"Atenção","Blindado em construção")))</f>
        <v/>
      </c>
    </row>
    <row r="10">
      <c r="A10" s="20">
        <f>DATE(YEAR(Início!$B$6),MONTH(Início!$B$6)+5,1)</f>
        <v/>
      </c>
      <c r="B10" s="5" t="n"/>
      <c r="C10" s="5" t="n"/>
      <c r="D10" s="5" t="n"/>
      <c r="E10" s="5" t="n"/>
      <c r="F10" s="19">
        <f>IF(B10="","",IF(B10&lt;40,"Zona de risco",IF(B10&lt;70,"Atenção","Blindado em construção")))</f>
        <v/>
      </c>
    </row>
    <row r="11">
      <c r="A11" s="20">
        <f>DATE(YEAR(Início!$B$6),MONTH(Início!$B$6)+6,1)</f>
        <v/>
      </c>
      <c r="B11" s="5" t="n"/>
      <c r="C11" s="5" t="n"/>
      <c r="D11" s="5" t="n"/>
      <c r="E11" s="5" t="n"/>
      <c r="F11" s="19">
        <f>IF(B11="","",IF(B11&lt;40,"Zona de risco",IF(B11&lt;70,"Atenção","Blindado em construção")))</f>
        <v/>
      </c>
    </row>
    <row r="12">
      <c r="A12" s="20">
        <f>DATE(YEAR(Início!$B$6),MONTH(Início!$B$6)+7,1)</f>
        <v/>
      </c>
      <c r="B12" s="5" t="n"/>
      <c r="C12" s="5" t="n"/>
      <c r="D12" s="5" t="n"/>
      <c r="E12" s="5" t="n"/>
      <c r="F12" s="19">
        <f>IF(B12="","",IF(B12&lt;40,"Zona de risco",IF(B12&lt;70,"Atenção","Blindado em construção")))</f>
        <v/>
      </c>
    </row>
    <row r="13">
      <c r="A13" s="20">
        <f>DATE(YEAR(Início!$B$6),MONTH(Início!$B$6)+8,1)</f>
        <v/>
      </c>
      <c r="B13" s="5" t="n"/>
      <c r="C13" s="5" t="n"/>
      <c r="D13" s="5" t="n"/>
      <c r="E13" s="5" t="n"/>
      <c r="F13" s="19">
        <f>IF(B13="","",IF(B13&lt;40,"Zona de risco",IF(B13&lt;70,"Atenção","Blindado em construção")))</f>
        <v/>
      </c>
    </row>
    <row r="14">
      <c r="A14" s="20">
        <f>DATE(YEAR(Início!$B$6),MONTH(Início!$B$6)+9,1)</f>
        <v/>
      </c>
      <c r="B14" s="5" t="n"/>
      <c r="C14" s="5" t="n"/>
      <c r="D14" s="5" t="n"/>
      <c r="E14" s="5" t="n"/>
      <c r="F14" s="19">
        <f>IF(B14="","",IF(B14&lt;40,"Zona de risco",IF(B14&lt;70,"Atenção","Blindado em construção")))</f>
        <v/>
      </c>
    </row>
    <row r="15">
      <c r="A15" s="20">
        <f>DATE(YEAR(Início!$B$6),MONTH(Início!$B$6)+10,1)</f>
        <v/>
      </c>
      <c r="B15" s="5" t="n"/>
      <c r="C15" s="5" t="n"/>
      <c r="D15" s="5" t="n"/>
      <c r="E15" s="5" t="n"/>
      <c r="F15" s="19">
        <f>IF(B15="","",IF(B15&lt;40,"Zona de risco",IF(B15&lt;70,"Atenção","Blindado em construção")))</f>
        <v/>
      </c>
    </row>
    <row r="16">
      <c r="A16" s="20">
        <f>DATE(YEAR(Início!$B$6),MONTH(Início!$B$6)+11,1)</f>
        <v/>
      </c>
      <c r="B16" s="5" t="n"/>
      <c r="C16" s="5" t="n"/>
      <c r="D16" s="5" t="n"/>
      <c r="E16" s="5" t="n"/>
      <c r="F16" s="19">
        <f>IF(B16="","",IF(B16&lt;40,"Zona de risco",IF(B16&lt;70,"Atenção","Blindado em construção")))</f>
        <v/>
      </c>
    </row>
    <row r="17">
      <c r="A17" s="20">
        <f>DATE(YEAR(Início!$B$6),MONTH(Início!$B$6)+12,1)</f>
        <v/>
      </c>
      <c r="B17" s="5" t="n"/>
      <c r="C17" s="5" t="n"/>
      <c r="D17" s="5" t="n"/>
      <c r="E17" s="5" t="n"/>
      <c r="F17" s="19">
        <f>IF(B17="","",IF(B17&lt;40,"Zona de risco",IF(B17&lt;70,"Atenção","Blindado em construção")))</f>
        <v/>
      </c>
    </row>
    <row r="18">
      <c r="A18" s="20">
        <f>DATE(YEAR(Início!$B$6),MONTH(Início!$B$6)+13,1)</f>
        <v/>
      </c>
      <c r="B18" s="5" t="n"/>
      <c r="C18" s="5" t="n"/>
      <c r="D18" s="5" t="n"/>
      <c r="E18" s="5" t="n"/>
      <c r="F18" s="19">
        <f>IF(B18="","",IF(B18&lt;40,"Zona de risco",IF(B18&lt;70,"Atenção","Blindado em construção")))</f>
        <v/>
      </c>
    </row>
    <row r="19">
      <c r="A19" s="20">
        <f>DATE(YEAR(Início!$B$6),MONTH(Início!$B$6)+14,1)</f>
        <v/>
      </c>
      <c r="B19" s="5" t="n"/>
      <c r="C19" s="5" t="n"/>
      <c r="D19" s="5" t="n"/>
      <c r="E19" s="5" t="n"/>
      <c r="F19" s="19">
        <f>IF(B19="","",IF(B19&lt;40,"Zona de risco",IF(B19&lt;70,"Atenção","Blindado em construção")))</f>
        <v/>
      </c>
    </row>
    <row r="20">
      <c r="A20" s="20">
        <f>DATE(YEAR(Início!$B$6),MONTH(Início!$B$6)+15,1)</f>
        <v/>
      </c>
      <c r="B20" s="5" t="n"/>
      <c r="C20" s="5" t="n"/>
      <c r="D20" s="5" t="n"/>
      <c r="E20" s="5" t="n"/>
      <c r="F20" s="19">
        <f>IF(B20="","",IF(B20&lt;40,"Zona de risco",IF(B20&lt;70,"Atenção","Blindado em construção")))</f>
        <v/>
      </c>
    </row>
    <row r="21">
      <c r="A21" s="20">
        <f>DATE(YEAR(Início!$B$6),MONTH(Início!$B$6)+16,1)</f>
        <v/>
      </c>
      <c r="B21" s="5" t="n"/>
      <c r="C21" s="5" t="n"/>
      <c r="D21" s="5" t="n"/>
      <c r="E21" s="5" t="n"/>
      <c r="F21" s="19">
        <f>IF(B21="","",IF(B21&lt;40,"Zona de risco",IF(B21&lt;70,"Atenção","Blindado em construção")))</f>
        <v/>
      </c>
    </row>
    <row r="22">
      <c r="A22" s="20">
        <f>DATE(YEAR(Início!$B$6),MONTH(Início!$B$6)+17,1)</f>
        <v/>
      </c>
      <c r="B22" s="5" t="n"/>
      <c r="C22" s="5" t="n"/>
      <c r="D22" s="5" t="n"/>
      <c r="E22" s="5" t="n"/>
      <c r="F22" s="19">
        <f>IF(B22="","",IF(B22&lt;40,"Zona de risco",IF(B22&lt;70,"Atenção","Blindado em construção")))</f>
        <v/>
      </c>
    </row>
    <row r="23">
      <c r="A23" s="20">
        <f>DATE(YEAR(Início!$B$6),MONTH(Início!$B$6)+18,1)</f>
        <v/>
      </c>
      <c r="B23" s="5" t="n"/>
      <c r="C23" s="5" t="n"/>
      <c r="D23" s="5" t="n"/>
      <c r="E23" s="5" t="n"/>
      <c r="F23" s="19">
        <f>IF(B23="","",IF(B23&lt;40,"Zona de risco",IF(B23&lt;70,"Atenção","Blindado em construção")))</f>
        <v/>
      </c>
    </row>
    <row r="24">
      <c r="A24" s="20">
        <f>DATE(YEAR(Início!$B$6),MONTH(Início!$B$6)+19,1)</f>
        <v/>
      </c>
      <c r="B24" s="5" t="n"/>
      <c r="C24" s="5" t="n"/>
      <c r="D24" s="5" t="n"/>
      <c r="E24" s="5" t="n"/>
      <c r="F24" s="19">
        <f>IF(B24="","",IF(B24&lt;40,"Zona de risco",IF(B24&lt;70,"Atenção","Blindado em construção")))</f>
        <v/>
      </c>
    </row>
    <row r="25">
      <c r="A25" s="20">
        <f>DATE(YEAR(Início!$B$6),MONTH(Início!$B$6)+20,1)</f>
        <v/>
      </c>
      <c r="B25" s="5" t="n"/>
      <c r="C25" s="5" t="n"/>
      <c r="D25" s="5" t="n"/>
      <c r="E25" s="5" t="n"/>
      <c r="F25" s="19">
        <f>IF(B25="","",IF(B25&lt;40,"Zona de risco",IF(B25&lt;70,"Atenção","Blindado em construção")))</f>
        <v/>
      </c>
    </row>
    <row r="26">
      <c r="A26" s="20">
        <f>DATE(YEAR(Início!$B$6),MONTH(Início!$B$6)+21,1)</f>
        <v/>
      </c>
      <c r="B26" s="5" t="n"/>
      <c r="C26" s="5" t="n"/>
      <c r="D26" s="5" t="n"/>
      <c r="E26" s="5" t="n"/>
      <c r="F26" s="19">
        <f>IF(B26="","",IF(B26&lt;40,"Zona de risco",IF(B26&lt;70,"Atenção","Blindado em construção")))</f>
        <v/>
      </c>
    </row>
    <row r="27">
      <c r="A27" s="20">
        <f>DATE(YEAR(Início!$B$6),MONTH(Início!$B$6)+22,1)</f>
        <v/>
      </c>
      <c r="B27" s="5" t="n"/>
      <c r="C27" s="5" t="n"/>
      <c r="D27" s="5" t="n"/>
      <c r="E27" s="5" t="n"/>
      <c r="F27" s="19">
        <f>IF(B27="","",IF(B27&lt;40,"Zona de risco",IF(B27&lt;70,"Atenção","Blindado em construção")))</f>
        <v/>
      </c>
    </row>
    <row r="28">
      <c r="A28" s="20">
        <f>DATE(YEAR(Início!$B$6),MONTH(Início!$B$6)+23,1)</f>
        <v/>
      </c>
      <c r="B28" s="5" t="n"/>
      <c r="C28" s="5" t="n"/>
      <c r="D28" s="5" t="n"/>
      <c r="E28" s="5" t="n"/>
      <c r="F28" s="19">
        <f>IF(B28="","",IF(B28&lt;40,"Zona de risco",IF(B28&lt;70,"Atenção","Blindado em construção")))</f>
        <v/>
      </c>
    </row>
  </sheetData>
  <conditionalFormatting sqref="B5:B28">
    <cfRule type="cellIs" priority="1" operator="between" dxfId="3">
      <formula>0</formula>
      <formula>39</formula>
    </cfRule>
    <cfRule type="cellIs" priority="2" operator="between" dxfId="0">
      <formula>70</formula>
      <formula>100</formula>
    </cfRule>
  </conditionalFormatting>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48" customWidth="1" min="3" max="3"/>
    <col width="34" customWidth="1" min="4" max="4"/>
    <col width="34" customWidth="1" min="5" max="5"/>
    <col width="34" customWidth="1" min="6" max="6"/>
    <col width="12" customWidth="1" min="7" max="7"/>
  </cols>
  <sheetData>
    <row r="1" ht="30" customHeight="1">
      <c r="A1" s="1" t="inlineStr">
        <is>
          <t>Calendário da reforma</t>
        </is>
      </c>
      <c r="B1" s="2" t="n"/>
      <c r="C1" s="2" t="n"/>
      <c r="D1" s="2" t="n"/>
      <c r="E1" s="2" t="n"/>
      <c r="F1" s="2" t="n"/>
    </row>
    <row r="2">
      <c r="A2" s="3" t="inlineStr">
        <is>
          <t>Datas oficiais e o que fazer · coluna 'Faltam' conta os dias</t>
        </is>
      </c>
      <c r="B2" s="2" t="n"/>
      <c r="C2" s="2" t="n"/>
      <c r="D2" s="2" t="n"/>
      <c r="E2" s="2" t="n"/>
      <c r="F2" s="2" t="n"/>
    </row>
    <row r="4">
      <c r="A4" s="8" t="inlineStr">
        <is>
          <t>Data</t>
        </is>
      </c>
      <c r="B4" s="8" t="inlineStr">
        <is>
          <t>Evento</t>
        </is>
      </c>
      <c r="C4" s="8" t="inlineStr">
        <is>
          <t>O que acontece</t>
        </is>
      </c>
      <c r="D4" s="8" t="inlineStr">
        <is>
          <t>O que fazer (Comércio)</t>
        </is>
      </c>
      <c r="E4" s="8" t="inlineStr">
        <is>
          <t>O que fazer (Serviços)</t>
        </is>
      </c>
      <c r="F4" s="8" t="inlineStr">
        <is>
          <t>O que fazer (Indústria/Agro/B2B)</t>
        </is>
      </c>
      <c r="G4" s="8" t="inlineStr">
        <is>
          <t>Faltam (dias)</t>
        </is>
      </c>
    </row>
    <row r="5" ht="62" customHeight="1">
      <c r="A5" s="13" t="n">
        <v>46023</v>
      </c>
      <c r="B5" s="12" t="inlineStr">
        <is>
          <t>Ano de teste</t>
        </is>
      </c>
      <c r="C5" s="12" t="inlineStr">
        <is>
          <t>CBS (0,9%) e IBS (0,1%) aparecem destacados na nota fiscal para teste. Quem cumpre as obrigações da nota não paga esse valor a mais.</t>
        </is>
      </c>
      <c r="D5" s="12" t="inlineStr">
        <is>
          <t>Confira se o seu sistema de caixa/PDV já destaca CBS e IBS.</t>
        </is>
      </c>
      <c r="E5" s="12" t="inlineStr">
        <is>
          <t>Confira se a sua nota de serviço já sai no padrão novo.</t>
        </is>
      </c>
      <c r="F5" s="12" t="inlineStr">
        <is>
          <t>Confira se as NF-e já saem com os campos de CBS e IBS.</t>
        </is>
      </c>
      <c r="G5" s="21">
        <f>IF(A5&lt;TODAY(),"já passou",A5-TODAY())</f>
        <v/>
      </c>
    </row>
    <row r="6" ht="62" customHeight="1">
      <c r="A6" s="13" t="n">
        <v>46310</v>
      </c>
      <c r="B6" s="12" t="inlineStr">
        <is>
          <t>Testes do split payment</t>
        </is>
      </c>
      <c r="C6" s="12" t="inlineStr">
        <is>
          <t>Começam os testes técnicos entre bancos/maquininhas e a plataforma pública. Ainda não mexem em pagamento real.</t>
        </is>
      </c>
      <c r="D6" s="12" t="inlineStr">
        <is>
          <t>Nada a pagar. Pergunte ao banco e à maquininha como vão tratar o split.</t>
        </is>
      </c>
      <c r="E6" s="12" t="inlineStr">
        <is>
          <t>Nada a pagar. Pergunte ao banco como vai funcionar.</t>
        </is>
      </c>
      <c r="F6" s="12" t="inlineStr">
        <is>
          <t>Comece a simular no fluxo de caixa o recebimento líquido (sem o imposto).</t>
        </is>
      </c>
      <c r="G6" s="21">
        <f>IF(A6&lt;TODAY(),"já passou",A6-TODAY())</f>
        <v/>
      </c>
    </row>
    <row r="7" ht="62" customHeight="1">
      <c r="A7" s="13" t="n">
        <v>46325</v>
      </c>
      <c r="B7" s="12" t="inlineStr">
        <is>
          <t>Prazo: Simples pode escolher o "híbrido" para jan–jun/2027</t>
        </is>
      </c>
      <c r="C7" s="12" t="inlineStr">
        <is>
          <t>Empresas do Simples podem optar por pagar IBS e CBS por fora do DAS (regime regular). Quem não optar continua "por dentro" e pode decidir de novo em março de 2027.</t>
        </is>
      </c>
      <c r="D7" s="12" t="inlineStr">
        <is>
          <t>Se vende quase tudo para consumidor final, em geral fica por dentro. Confirme com o contador.</t>
        </is>
      </c>
      <c r="E7" s="12" t="inlineStr">
        <is>
          <t>Se vende para empresas, peça ao contador a simulação dos dois cenários.</t>
        </is>
      </c>
      <c r="F7" s="12" t="inlineStr">
        <is>
          <t>Vende para empresas? Essa decisão afeta o crédito que o seu cliente aproveita. Simule com o contador.</t>
        </is>
      </c>
      <c r="G7" s="21">
        <f>IF(A7&lt;TODAY(),"já passou",A7-TODAY())</f>
        <v/>
      </c>
    </row>
    <row r="8" ht="62" customHeight="1">
      <c r="A8" s="13" t="n">
        <v>46371</v>
      </c>
      <c r="B8" s="12" t="inlineStr">
        <is>
          <t>Senado fixa a alíquota da CBS para 2027</t>
        </is>
      </c>
      <c r="C8" s="12" t="inlineStr">
        <is>
          <t>O TCU envia o cálculo até 30/10 e o Senado fixa a alíquota de referência até 15/12. Estimativa não oficial usada pelo Comitê Gestor: CBS 9,21% e IBS 18,7% (27,91% somados no modelo final).</t>
        </is>
      </c>
      <c r="D8" s="12" t="inlineStr">
        <is>
          <t>Atualize o simulador de preço com a alíquota oficial assim que sair.</t>
        </is>
      </c>
      <c r="E8" s="12" t="inlineStr">
        <is>
          <t>Atualize o simulador de preço com a alíquota oficial.</t>
        </is>
      </c>
      <c r="F8" s="12" t="inlineStr">
        <is>
          <t>Atualize preços e propostas de 2027 com a alíquota oficial.</t>
        </is>
      </c>
      <c r="G8" s="21">
        <f>IF(A8&lt;TODAY(),"já passou",A8-TODAY())</f>
        <v/>
      </c>
    </row>
    <row r="9" ht="62" customHeight="1">
      <c r="A9" s="13" t="n">
        <v>46388</v>
      </c>
      <c r="B9" s="12" t="inlineStr">
        <is>
          <t>CBS entra no lugar de PIS e Cofins</t>
        </is>
      </c>
      <c r="C9" s="12" t="inlineStr">
        <is>
          <t>PIS e Cofins deixam de existir. O IPI vai a zero (exceto produtos da Zona Franca de Manaus). Começa o Imposto Seletivo (cigarro, bebidas alcoólicas e açucaradas, veículos, mineração etc.). O IBS fica em 0,1% em 2027 e 2028.</t>
        </is>
      </c>
      <c r="D9" s="12" t="inlineStr">
        <is>
          <t>Tabela de preços revisada e sistema pronto antes do dia 1º.</t>
        </is>
      </c>
      <c r="E9" s="12" t="inlineStr">
        <is>
          <t>Contratos e propostas com cláusula de reajuste tributário.</t>
        </is>
      </c>
      <c r="F9" s="12" t="inlineStr">
        <is>
          <t>Revise preço de venda, crédito nas compras e contratos com clientes.</t>
        </is>
      </c>
      <c r="G9" s="21">
        <f>IF(A9&lt;TODAY(),"já passou",A9-TODAY())</f>
        <v/>
      </c>
    </row>
    <row r="10" ht="62" customHeight="1">
      <c r="A10" s="13" t="n">
        <v>46447</v>
      </c>
      <c r="B10" s="12" t="inlineStr">
        <is>
          <t>Janela do Simples: entrar ou sair do híbrido</t>
        </is>
      </c>
      <c r="C10" s="12" t="inlineStr">
        <is>
          <t>Optantes do Simples podem escolher (ou desistir) do regime regular de IBS/CBS, com efeito no 2º semestre de 2027. Depois, as janelas são em março e setembro de cada ano.</t>
        </is>
      </c>
      <c r="D10" s="12" t="inlineStr">
        <is>
          <t>Reveja a decisão com os números do 1º trimestre.</t>
        </is>
      </c>
      <c r="E10" s="12" t="inlineStr">
        <is>
          <t>Leve ao contador a simulação feita no painel.</t>
        </is>
      </c>
      <c r="F10" s="12" t="inlineStr">
        <is>
          <t>Pergunte aos seus maiores clientes como eles tratam o crédito de fornecedores do Simples.</t>
        </is>
      </c>
      <c r="G10" s="21">
        <f>IF(A10&lt;TODAY(),"já passou",A10-TODAY())</f>
        <v/>
      </c>
    </row>
    <row r="11" ht="62" customHeight="1">
      <c r="A11" s="13" t="n">
        <v>46569</v>
      </c>
      <c r="B11" s="12" t="inlineStr">
        <is>
          <t>Split payment começa (gradual)</t>
        </is>
      </c>
      <c r="C11" s="12" t="inlineStr">
        <is>
          <t>Previsão de início gradual e facultativo, começando nas vendas entre empresas: o imposto é separado na hora do pagamento e você recebe o valor líquido.</t>
        </is>
      </c>
      <c r="D11" s="12" t="inlineStr">
        <is>
          <t>Pouco muda no balcão no começo, mas fornecedores podem mudar condições.</t>
        </is>
      </c>
      <c r="E11" s="12" t="inlineStr">
        <is>
          <t>Se atende empresas, prepare o caixa para receber o líquido.</t>
        </is>
      </c>
      <c r="F11" s="12" t="inlineStr">
        <is>
          <t>Fim do imposto como capital de giro: ajuste o fluxo de caixa e a reserva.</t>
        </is>
      </c>
      <c r="G11" s="21">
        <f>IF(A11&lt;TODAY(),"já passou",A11-TODAY())</f>
        <v/>
      </c>
    </row>
    <row r="12" ht="62" customHeight="1">
      <c r="A12" s="13" t="n">
        <v>47119</v>
      </c>
      <c r="B12" s="12" t="inlineStr">
        <is>
          <t>Começa a troca de ICMS e ISS pelo IBS</t>
        </is>
      </c>
      <c r="C12" s="12" t="inlineStr">
        <is>
          <t>ICMS e ISS passam a 90% das alíquotas atuais; o IBS sobe na mesma proporção.</t>
        </is>
      </c>
      <c r="D12" s="12" t="inlineStr">
        <is>
          <t>Revise preços: o ICMS começa a cair e o IBS a subir.</t>
        </is>
      </c>
      <c r="E12" s="12" t="inlineStr">
        <is>
          <t>Revise preços: o ISS começa a cair e o IBS a subir.</t>
        </is>
      </c>
      <c r="F12" s="12" t="inlineStr">
        <is>
          <t>Benefícios de ICMS começam a ser reduzidos: reveja preços e contratos.</t>
        </is>
      </c>
      <c r="G12" s="21">
        <f>IF(A12&lt;TODAY(),"já passou",A12-TODAY())</f>
        <v/>
      </c>
    </row>
    <row r="13" ht="62" customHeight="1">
      <c r="A13" s="13" t="n">
        <v>47484</v>
      </c>
      <c r="B13" s="12" t="inlineStr">
        <is>
          <t>ICMS e ISS a 80%</t>
        </is>
      </c>
      <c r="C13" s="12" t="inlineStr">
        <is>
          <t>Segue a transição: ICMS e ISS em 80% das alíquotas; IBS sobe.</t>
        </is>
      </c>
      <c r="D13" s="12" t="inlineStr">
        <is>
          <t>Revisão anual de preço.</t>
        </is>
      </c>
      <c r="E13" s="12" t="inlineStr">
        <is>
          <t>Revisão anual de preço.</t>
        </is>
      </c>
      <c r="F13" s="12" t="inlineStr">
        <is>
          <t>Revisão anual de preço e contratos.</t>
        </is>
      </c>
      <c r="G13" s="21">
        <f>IF(A13&lt;TODAY(),"já passou",A13-TODAY())</f>
        <v/>
      </c>
    </row>
    <row r="14" ht="62" customHeight="1">
      <c r="A14" s="13" t="n">
        <v>47849</v>
      </c>
      <c r="B14" s="12" t="inlineStr">
        <is>
          <t>ICMS e ISS a 70%</t>
        </is>
      </c>
      <c r="C14" s="12" t="inlineStr">
        <is>
          <t>Segue a transição.</t>
        </is>
      </c>
      <c r="D14" s="12" t="inlineStr">
        <is>
          <t>Revisão anual de preço.</t>
        </is>
      </c>
      <c r="E14" s="12" t="inlineStr">
        <is>
          <t>Revisão anual de preço.</t>
        </is>
      </c>
      <c r="F14" s="12" t="inlineStr">
        <is>
          <t>Revisão anual de preço e contratos.</t>
        </is>
      </c>
      <c r="G14" s="21">
        <f>IF(A14&lt;TODAY(),"já passou",A14-TODAY())</f>
        <v/>
      </c>
    </row>
    <row r="15" ht="62" customHeight="1">
      <c r="A15" s="13" t="n">
        <v>48214</v>
      </c>
      <c r="B15" s="12" t="inlineStr">
        <is>
          <t>ICMS e ISS a 60%</t>
        </is>
      </c>
      <c r="C15" s="12" t="inlineStr">
        <is>
          <t>Último ano da convivência dos dois sistemas.</t>
        </is>
      </c>
      <c r="D15" s="12" t="inlineStr">
        <is>
          <t>Prepare o sistema para o fim do ICMS.</t>
        </is>
      </c>
      <c r="E15" s="12" t="inlineStr">
        <is>
          <t>Prepare o sistema para o fim do ISS.</t>
        </is>
      </c>
      <c r="F15" s="12" t="inlineStr">
        <is>
          <t>Prepare o sistema para o fim do ICMS/ISS.</t>
        </is>
      </c>
      <c r="G15" s="21">
        <f>IF(A15&lt;TODAY(),"já passou",A15-TODAY())</f>
        <v/>
      </c>
    </row>
    <row r="16" ht="62" customHeight="1">
      <c r="A16" s="13" t="n">
        <v>48580</v>
      </c>
      <c r="B16" s="12" t="inlineStr">
        <is>
          <t>Modelo novo completo</t>
        </is>
      </c>
      <c r="C16" s="12" t="inlineStr">
        <is>
          <t>ICMS e ISS deixam de existir. Ficam CBS (federal) e IBS (estados e municípios), com crédito amplo nas compras. A soma das alíquotas de referência não pode passar de 26,5% em 2033, pela regra da lei (com mecanismo de ajuste).</t>
        </is>
      </c>
      <c r="D16" s="12" t="inlineStr">
        <is>
          <t>Preço e margem já no modelo novo.</t>
        </is>
      </c>
      <c r="E16" s="12" t="inlineStr">
        <is>
          <t>Preço e margem já no modelo novo.</t>
        </is>
      </c>
      <c r="F16" s="12" t="inlineStr">
        <is>
          <t>Preço, crédito e contratos já no modelo novo.</t>
        </is>
      </c>
      <c r="G16" s="21">
        <f>IF(A16&lt;TODAY(),"já passou",A16-TODAY())</f>
        <v/>
      </c>
    </row>
    <row r="18">
      <c r="A18" s="22" t="inlineStr">
        <is>
          <t>Fontes: EC 132/2023; LC 214/2025; Res. CGSN 194/2026; Receita Federal; Comsefaz; Senado. Dados de 28/10/2026.</t>
        </is>
      </c>
    </row>
  </sheetData>
  <conditionalFormatting sqref="A5:G16">
    <cfRule type="expression" priority="1" dxfId="1">
      <formula>AND($A5&gt;=TODAY(),$A5-TODAY()&lt;=45)</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showGridLines="0" workbookViewId="0">
      <selection activeCell="A1" sqref="A1"/>
    </sheetView>
  </sheetViews>
  <sheetFormatPr baseColWidth="8" defaultRowHeight="15"/>
  <cols>
    <col width="62" customWidth="1" min="1" max="1"/>
    <col width="18" customWidth="1" min="2" max="2"/>
    <col width="18" customWidth="1" min="3" max="3"/>
    <col width="18" customWidth="1" min="4" max="4"/>
  </cols>
  <sheetData>
    <row r="1" ht="30" customHeight="1">
      <c r="A1" s="1" t="inlineStr">
        <is>
          <t>Simples: por dentro x híbrido</t>
        </is>
      </c>
      <c r="B1" s="2" t="n"/>
      <c r="C1" s="2" t="n"/>
      <c r="D1" s="2" t="n"/>
    </row>
    <row r="2">
      <c r="A2" s="3" t="inlineStr">
        <is>
          <t>Faça antes das janelas de março e setembro · valores do mês</t>
        </is>
      </c>
      <c r="B2" s="2" t="n"/>
      <c r="C2" s="2" t="n"/>
      <c r="D2" s="2" t="n"/>
    </row>
    <row r="4">
      <c r="A4" s="8" t="inlineStr">
        <is>
          <t>Dado</t>
        </is>
      </c>
      <c r="B4" s="8" t="inlineStr">
        <is>
          <t>Valor</t>
        </is>
      </c>
    </row>
    <row r="5">
      <c r="A5" s="16" t="inlineStr">
        <is>
          <t>Faturamento do mês</t>
        </is>
      </c>
      <c r="B5" s="7" t="n">
        <v>40000</v>
      </c>
    </row>
    <row r="6">
      <c r="A6" s="16" t="inlineStr">
        <is>
          <t>Alíquota efetiva do DAS hoje</t>
        </is>
      </c>
      <c r="B6" s="23" t="n">
        <v>0.08</v>
      </c>
    </row>
    <row r="7">
      <c r="A7" s="16" t="inlineStr">
        <is>
          <t>Parte de IBS/CBS dentro do DAS (% da venda) — peça ao contador</t>
        </is>
      </c>
      <c r="B7" s="23" t="n">
        <v>0.03</v>
      </c>
    </row>
    <row r="8">
      <c r="A8" s="16" t="inlineStr">
        <is>
          <t>% das vendas para empresas</t>
        </is>
      </c>
      <c r="B8" s="24" t="n">
        <v>0.3</v>
      </c>
    </row>
    <row r="9">
      <c r="A9" s="16" t="inlineStr">
        <is>
          <t>Compras com nota de fornecedores do regime regular</t>
        </is>
      </c>
      <c r="B9" s="7" t="n">
        <v>12000</v>
      </c>
    </row>
    <row r="10">
      <c r="A10" s="16" t="inlineStr">
        <is>
          <t>Alíquota IBS+CBS (modelo final, estimativa)</t>
        </is>
      </c>
      <c r="B10" s="23" t="n">
        <v>0.2791</v>
      </c>
    </row>
    <row r="11">
      <c r="A11" s="16" t="inlineStr">
        <is>
          <t>Redução de alíquota do seu item (0, 30%, 60%)</t>
        </is>
      </c>
      <c r="B11" s="24" t="n">
        <v>0</v>
      </c>
    </row>
    <row r="12">
      <c r="A12" s="16" t="inlineStr">
        <is>
          <t>Custo extra de contabilidade/sistema no híbrido</t>
        </is>
      </c>
      <c r="B12" s="7" t="n">
        <v>300</v>
      </c>
    </row>
    <row r="13">
      <c r="A13" s="4" t="inlineStr">
        <is>
          <t>Alíquota efetiva no seu item</t>
        </is>
      </c>
      <c r="B13" s="25">
        <f>B10*(1-B11)</f>
        <v/>
      </c>
    </row>
    <row r="15">
      <c r="A15" s="8" t="inlineStr">
        <is>
          <t>Resultado</t>
        </is>
      </c>
      <c r="B15" s="8" t="inlineStr">
        <is>
          <t>Por dentro</t>
        </is>
      </c>
      <c r="C15" s="8" t="inlineStr">
        <is>
          <t>Híbrido</t>
        </is>
      </c>
      <c r="D15" s="8" t="inlineStr">
        <is>
          <t>Diferença</t>
        </is>
      </c>
    </row>
    <row r="16">
      <c r="A16" s="16" t="inlineStr">
        <is>
          <t>Imposto do mês</t>
        </is>
      </c>
      <c r="B16" s="26">
        <f>B5*B6</f>
        <v/>
      </c>
      <c r="C16" s="26">
        <f>B5*(B6-B7)+B5/(1+B13)*B13-B9*B10/(1+B10)+B12</f>
        <v/>
      </c>
      <c r="D16" s="26">
        <f>C16-B16</f>
        <v/>
      </c>
    </row>
    <row r="17">
      <c r="A17" s="16" t="inlineStr">
        <is>
          <t>Crédito do cliente PJ a cada R$ 1.000</t>
        </is>
      </c>
      <c r="B17" s="26">
        <f>1000*B7</f>
        <v/>
      </c>
      <c r="C17" s="26">
        <f>1000/(1+B13)*B13</f>
        <v/>
      </c>
      <c r="D17" s="26">
        <f>C17-B17</f>
        <v/>
      </c>
    </row>
    <row r="18">
      <c r="A18" s="16" t="inlineStr">
        <is>
          <t>Crédito gerado aos clientes PJ no mês</t>
        </is>
      </c>
      <c r="B18" s="26">
        <f>B5*B8*B7</f>
        <v/>
      </c>
      <c r="C18" s="26">
        <f>B5*B8/(1+B13)*B13</f>
        <v/>
      </c>
      <c r="D18" s="26">
        <f>C18-B18</f>
        <v/>
      </c>
    </row>
    <row r="20" ht="44" customHeight="1">
      <c r="A20" s="27">
        <f>IF(B8&lt;0.2,"Você vende pouco para empresas: ficar POR DENTRO tende a ser o caminho. Confirme com o contador.",IF(D16&lt;=0,"O híbrido sai mais barato e gera mais crédito ao cliente: avalie com o contador.","O híbrido custa mais imposto por mês (célula D16), mas gera mais crédito aos clientes PJ (célula D18). Vale se os clientes PJ pagariam mais ou deixariam de comprar de você por falta de crédito. Decida com o contador."))</f>
        <v/>
      </c>
    </row>
  </sheetData>
  <mergeCells count="1">
    <mergeCell ref="A20:D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6"/>
  <sheetViews>
    <sheetView showGridLines="0" workbookViewId="0">
      <pane xSplit="1" ySplit="9" topLeftCell="B10"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4" customWidth="1" min="6" max="6"/>
    <col width="12" customWidth="1" min="7" max="7"/>
    <col width="12" customWidth="1" min="8" max="8"/>
    <col width="12" customWidth="1" min="9" max="9"/>
    <col width="15" customWidth="1" min="10" max="10"/>
    <col width="11" customWidth="1" min="11" max="11"/>
    <col width="15" customWidth="1" min="12" max="12"/>
    <col width="11" customWidth="1" min="13" max="13"/>
  </cols>
  <sheetData>
    <row r="1" ht="30" customHeight="1">
      <c r="A1" s="1" t="inlineStr">
        <is>
          <t>Preço 2027 · item a item</t>
        </is>
      </c>
      <c r="B1" s="2" t="n"/>
      <c r="C1" s="2" t="n"/>
      <c r="D1" s="2" t="n"/>
      <c r="E1" s="2" t="n"/>
      <c r="F1" s="2" t="n"/>
      <c r="G1" s="2" t="n"/>
      <c r="H1" s="2" t="n"/>
      <c r="I1" s="2" t="n"/>
      <c r="J1" s="2" t="n"/>
      <c r="K1" s="2" t="n"/>
      <c r="L1" s="2" t="n"/>
      <c r="M1" s="2" t="n"/>
    </row>
    <row r="2">
      <c r="A2" s="3" t="inlineStr">
        <is>
          <t>Regime regular (Presumido/Real/híbrido). Alíquotas editáveis nas células amarelas do topo.</t>
        </is>
      </c>
      <c r="B2" s="2" t="n"/>
      <c r="C2" s="2" t="n"/>
      <c r="D2" s="2" t="n"/>
      <c r="E2" s="2" t="n"/>
      <c r="F2" s="2" t="n"/>
      <c r="G2" s="2" t="n"/>
      <c r="H2" s="2" t="n"/>
      <c r="I2" s="2" t="n"/>
      <c r="J2" s="2" t="n"/>
      <c r="K2" s="2" t="n"/>
      <c r="L2" s="2" t="n"/>
      <c r="M2" s="2" t="n"/>
    </row>
    <row r="4">
      <c r="A4" s="4" t="inlineStr">
        <is>
          <t>CBS (estimativa; oficial até 15/12/2026)</t>
        </is>
      </c>
      <c r="B4" s="23" t="n">
        <v>0.0921</v>
      </c>
    </row>
    <row r="5">
      <c r="A5" s="4" t="inlineStr">
        <is>
          <t>IBS final (estimativa)</t>
        </is>
      </c>
      <c r="B5" s="23" t="n">
        <v>0.187</v>
      </c>
    </row>
    <row r="6">
      <c r="A6" s="4" t="inlineStr">
        <is>
          <t>PIS/Cofins hoje (% da venda)</t>
        </is>
      </c>
      <c r="B6" s="23" t="n">
        <v>0.0365</v>
      </c>
    </row>
    <row r="7">
      <c r="A7" s="4" t="inlineStr">
        <is>
          <t>% das compras com crédito cheio</t>
        </is>
      </c>
      <c r="B7" s="24" t="n">
        <v>0.7</v>
      </c>
    </row>
    <row r="9" ht="45" customHeight="1">
      <c r="A9" s="8" t="inlineStr">
        <is>
          <t>Item</t>
        </is>
      </c>
      <c r="B9" s="8" t="inlineStr">
        <is>
          <t>Preço hoje</t>
        </is>
      </c>
      <c r="C9" s="8" t="inlineStr">
        <is>
          <t>Custo direto</t>
        </is>
      </c>
      <c r="D9" s="8" t="inlineStr">
        <is>
          <t>Impostos hoje %</t>
        </is>
      </c>
      <c r="E9" s="8" t="inlineStr">
        <is>
          <t>Taxas/comissão %</t>
        </is>
      </c>
      <c r="F9" s="8" t="inlineStr">
        <is>
          <t>Crédito hoje % (PIS+ICMS)</t>
        </is>
      </c>
      <c r="G9" s="8" t="inlineStr">
        <is>
          <t>Crédito ICMS hoje %</t>
        </is>
      </c>
      <c r="H9" s="8" t="inlineStr">
        <is>
          <t>Redução (0/0,3/0,6/1)</t>
        </is>
      </c>
      <c r="I9" s="8" t="inlineStr">
        <is>
          <t>Lucro hoje</t>
        </is>
      </c>
      <c r="J9" s="8" t="inlineStr">
        <is>
          <t>Preço 2027 p/ manter lucro</t>
        </is>
      </c>
      <c r="K9" s="8" t="inlineStr">
        <is>
          <t>Variação 2027</t>
        </is>
      </c>
      <c r="L9" s="8" t="inlineStr">
        <is>
          <t>Preço 2033 p/ manter lucro</t>
        </is>
      </c>
      <c r="M9" s="8" t="inlineStr">
        <is>
          <t>Variação 2033</t>
        </is>
      </c>
    </row>
    <row r="10">
      <c r="A10" s="5" t="inlineStr">
        <is>
          <t>Produto/serviço exemplo</t>
        </is>
      </c>
      <c r="B10" s="7" t="n">
        <v>100</v>
      </c>
      <c r="C10" s="7" t="n">
        <v>50</v>
      </c>
      <c r="D10" s="23" t="n">
        <v>0.12</v>
      </c>
      <c r="E10" s="23" t="n">
        <v>0.04</v>
      </c>
      <c r="F10" s="23" t="n">
        <v>0</v>
      </c>
      <c r="G10" s="23" t="n">
        <v>0</v>
      </c>
      <c r="H10" s="24" t="n">
        <v>0</v>
      </c>
      <c r="I10" s="26">
        <f>IF(B10="","",B10*(1-D10-E10)-C10+C10*F10*$B$7)</f>
        <v/>
      </c>
      <c r="J10" s="26">
        <f>IF(B10="","",(I10+C10-(C10*$B$7*$B$4/(1+$B$4+MAX(0,D10-$B$6))+C10*$B$7*G10))/((1+($B$4*(1-H10)+IF(H10&lt;1,0.001,0)))*(1-MAX(0,D10-$B$6)-E10)-($B$4*(1-H10)+IF(H10&lt;1,0.001,0)))*(1+($B$4*(1-H10)+IF(H10&lt;1,0.001,0))))</f>
        <v/>
      </c>
      <c r="K10" s="10">
        <f>IF(B10="","",J10/B10-1)</f>
        <v/>
      </c>
      <c r="L10" s="26">
        <f>IF(B10="","",(I10+C10-(C10*$B$7*($B$4+$B$5)/(1+($B$4+$B$5))))/(1-E10*(1+(($B$4+$B$5)*(1-H10))))*(1+(($B$4+$B$5)*(1-H10))))</f>
        <v/>
      </c>
      <c r="M10" s="10">
        <f>IF(B10="","",L10/B10-1)</f>
        <v/>
      </c>
    </row>
    <row r="11">
      <c r="A11" s="5" t="inlineStr"/>
      <c r="B11" s="7" t="n"/>
      <c r="C11" s="7" t="n"/>
      <c r="D11" s="23" t="n"/>
      <c r="E11" s="23" t="n"/>
      <c r="F11" s="23" t="n"/>
      <c r="G11" s="23" t="n"/>
      <c r="H11" s="24" t="n"/>
      <c r="I11" s="26">
        <f>IF(B11="","",B11*(1-D11-E11)-C11+C11*F11*$B$7)</f>
        <v/>
      </c>
      <c r="J11" s="26">
        <f>IF(B11="","",(I11+C11-(C11*$B$7*$B$4/(1+$B$4+MAX(0,D11-$B$6))+C11*$B$7*G11))/((1+($B$4*(1-H11)+IF(H11&lt;1,0.001,0)))*(1-MAX(0,D11-$B$6)-E11)-($B$4*(1-H11)+IF(H11&lt;1,0.001,0)))*(1+($B$4*(1-H11)+IF(H11&lt;1,0.001,0))))</f>
        <v/>
      </c>
      <c r="K11" s="10">
        <f>IF(B11="","",J11/B11-1)</f>
        <v/>
      </c>
      <c r="L11" s="26">
        <f>IF(B11="","",(I11+C11-(C11*$B$7*($B$4+$B$5)/(1+($B$4+$B$5))))/(1-E11*(1+(($B$4+$B$5)*(1-H11))))*(1+(($B$4+$B$5)*(1-H11))))</f>
        <v/>
      </c>
      <c r="M11" s="10">
        <f>IF(B11="","",L11/B11-1)</f>
        <v/>
      </c>
    </row>
    <row r="12">
      <c r="A12" s="5" t="inlineStr"/>
      <c r="B12" s="7" t="n"/>
      <c r="C12" s="7" t="n"/>
      <c r="D12" s="23" t="n"/>
      <c r="E12" s="23" t="n"/>
      <c r="F12" s="23" t="n"/>
      <c r="G12" s="23" t="n"/>
      <c r="H12" s="24" t="n"/>
      <c r="I12" s="26">
        <f>IF(B12="","",B12*(1-D12-E12)-C12+C12*F12*$B$7)</f>
        <v/>
      </c>
      <c r="J12" s="26">
        <f>IF(B12="","",(I12+C12-(C12*$B$7*$B$4/(1+$B$4+MAX(0,D12-$B$6))+C12*$B$7*G12))/((1+($B$4*(1-H12)+IF(H12&lt;1,0.001,0)))*(1-MAX(0,D12-$B$6)-E12)-($B$4*(1-H12)+IF(H12&lt;1,0.001,0)))*(1+($B$4*(1-H12)+IF(H12&lt;1,0.001,0))))</f>
        <v/>
      </c>
      <c r="K12" s="10">
        <f>IF(B12="","",J12/B12-1)</f>
        <v/>
      </c>
      <c r="L12" s="26">
        <f>IF(B12="","",(I12+C12-(C12*$B$7*($B$4+$B$5)/(1+($B$4+$B$5))))/(1-E12*(1+(($B$4+$B$5)*(1-H12))))*(1+(($B$4+$B$5)*(1-H12))))</f>
        <v/>
      </c>
      <c r="M12" s="10">
        <f>IF(B12="","",L12/B12-1)</f>
        <v/>
      </c>
    </row>
    <row r="13">
      <c r="A13" s="5" t="inlineStr"/>
      <c r="B13" s="7" t="n"/>
      <c r="C13" s="7" t="n"/>
      <c r="D13" s="23" t="n"/>
      <c r="E13" s="23" t="n"/>
      <c r="F13" s="23" t="n"/>
      <c r="G13" s="23" t="n"/>
      <c r="H13" s="24" t="n"/>
      <c r="I13" s="26">
        <f>IF(B13="","",B13*(1-D13-E13)-C13+C13*F13*$B$7)</f>
        <v/>
      </c>
      <c r="J13" s="26">
        <f>IF(B13="","",(I13+C13-(C13*$B$7*$B$4/(1+$B$4+MAX(0,D13-$B$6))+C13*$B$7*G13))/((1+($B$4*(1-H13)+IF(H13&lt;1,0.001,0)))*(1-MAX(0,D13-$B$6)-E13)-($B$4*(1-H13)+IF(H13&lt;1,0.001,0)))*(1+($B$4*(1-H13)+IF(H13&lt;1,0.001,0))))</f>
        <v/>
      </c>
      <c r="K13" s="10">
        <f>IF(B13="","",J13/B13-1)</f>
        <v/>
      </c>
      <c r="L13" s="26">
        <f>IF(B13="","",(I13+C13-(C13*$B$7*($B$4+$B$5)/(1+($B$4+$B$5))))/(1-E13*(1+(($B$4+$B$5)*(1-H13))))*(1+(($B$4+$B$5)*(1-H13))))</f>
        <v/>
      </c>
      <c r="M13" s="10">
        <f>IF(B13="","",L13/B13-1)</f>
        <v/>
      </c>
    </row>
    <row r="14">
      <c r="A14" s="5" t="inlineStr"/>
      <c r="B14" s="7" t="n"/>
      <c r="C14" s="7" t="n"/>
      <c r="D14" s="23" t="n"/>
      <c r="E14" s="23" t="n"/>
      <c r="F14" s="23" t="n"/>
      <c r="G14" s="23" t="n"/>
      <c r="H14" s="24" t="n"/>
      <c r="I14" s="26">
        <f>IF(B14="","",B14*(1-D14-E14)-C14+C14*F14*$B$7)</f>
        <v/>
      </c>
      <c r="J14" s="26">
        <f>IF(B14="","",(I14+C14-(C14*$B$7*$B$4/(1+$B$4+MAX(0,D14-$B$6))+C14*$B$7*G14))/((1+($B$4*(1-H14)+IF(H14&lt;1,0.001,0)))*(1-MAX(0,D14-$B$6)-E14)-($B$4*(1-H14)+IF(H14&lt;1,0.001,0)))*(1+($B$4*(1-H14)+IF(H14&lt;1,0.001,0))))</f>
        <v/>
      </c>
      <c r="K14" s="10">
        <f>IF(B14="","",J14/B14-1)</f>
        <v/>
      </c>
      <c r="L14" s="26">
        <f>IF(B14="","",(I14+C14-(C14*$B$7*($B$4+$B$5)/(1+($B$4+$B$5))))/(1-E14*(1+(($B$4+$B$5)*(1-H14))))*(1+(($B$4+$B$5)*(1-H14))))</f>
        <v/>
      </c>
      <c r="M14" s="10">
        <f>IF(B14="","",L14/B14-1)</f>
        <v/>
      </c>
    </row>
    <row r="15">
      <c r="A15" s="5" t="inlineStr"/>
      <c r="B15" s="7" t="n"/>
      <c r="C15" s="7" t="n"/>
      <c r="D15" s="23" t="n"/>
      <c r="E15" s="23" t="n"/>
      <c r="F15" s="23" t="n"/>
      <c r="G15" s="23" t="n"/>
      <c r="H15" s="24" t="n"/>
      <c r="I15" s="26">
        <f>IF(B15="","",B15*(1-D15-E15)-C15+C15*F15*$B$7)</f>
        <v/>
      </c>
      <c r="J15" s="26">
        <f>IF(B15="","",(I15+C15-(C15*$B$7*$B$4/(1+$B$4+MAX(0,D15-$B$6))+C15*$B$7*G15))/((1+($B$4*(1-H15)+IF(H15&lt;1,0.001,0)))*(1-MAX(0,D15-$B$6)-E15)-($B$4*(1-H15)+IF(H15&lt;1,0.001,0)))*(1+($B$4*(1-H15)+IF(H15&lt;1,0.001,0))))</f>
        <v/>
      </c>
      <c r="K15" s="10">
        <f>IF(B15="","",J15/B15-1)</f>
        <v/>
      </c>
      <c r="L15" s="26">
        <f>IF(B15="","",(I15+C15-(C15*$B$7*($B$4+$B$5)/(1+($B$4+$B$5))))/(1-E15*(1+(($B$4+$B$5)*(1-H15))))*(1+(($B$4+$B$5)*(1-H15))))</f>
        <v/>
      </c>
      <c r="M15" s="10">
        <f>IF(B15="","",L15/B15-1)</f>
        <v/>
      </c>
    </row>
    <row r="16">
      <c r="A16" s="5" t="inlineStr"/>
      <c r="B16" s="7" t="n"/>
      <c r="C16" s="7" t="n"/>
      <c r="D16" s="23" t="n"/>
      <c r="E16" s="23" t="n"/>
      <c r="F16" s="23" t="n"/>
      <c r="G16" s="23" t="n"/>
      <c r="H16" s="24" t="n"/>
      <c r="I16" s="26">
        <f>IF(B16="","",B16*(1-D16-E16)-C16+C16*F16*$B$7)</f>
        <v/>
      </c>
      <c r="J16" s="26">
        <f>IF(B16="","",(I16+C16-(C16*$B$7*$B$4/(1+$B$4+MAX(0,D16-$B$6))+C16*$B$7*G16))/((1+($B$4*(1-H16)+IF(H16&lt;1,0.001,0)))*(1-MAX(0,D16-$B$6)-E16)-($B$4*(1-H16)+IF(H16&lt;1,0.001,0)))*(1+($B$4*(1-H16)+IF(H16&lt;1,0.001,0))))</f>
        <v/>
      </c>
      <c r="K16" s="10">
        <f>IF(B16="","",J16/B16-1)</f>
        <v/>
      </c>
      <c r="L16" s="26">
        <f>IF(B16="","",(I16+C16-(C16*$B$7*($B$4+$B$5)/(1+($B$4+$B$5))))/(1-E16*(1+(($B$4+$B$5)*(1-H16))))*(1+(($B$4+$B$5)*(1-H16))))</f>
        <v/>
      </c>
      <c r="M16" s="10">
        <f>IF(B16="","",L16/B16-1)</f>
        <v/>
      </c>
    </row>
    <row r="17">
      <c r="A17" s="5" t="inlineStr"/>
      <c r="B17" s="7" t="n"/>
      <c r="C17" s="7" t="n"/>
      <c r="D17" s="23" t="n"/>
      <c r="E17" s="23" t="n"/>
      <c r="F17" s="23" t="n"/>
      <c r="G17" s="23" t="n"/>
      <c r="H17" s="24" t="n"/>
      <c r="I17" s="26">
        <f>IF(B17="","",B17*(1-D17-E17)-C17+C17*F17*$B$7)</f>
        <v/>
      </c>
      <c r="J17" s="26">
        <f>IF(B17="","",(I17+C17-(C17*$B$7*$B$4/(1+$B$4+MAX(0,D17-$B$6))+C17*$B$7*G17))/((1+($B$4*(1-H17)+IF(H17&lt;1,0.001,0)))*(1-MAX(0,D17-$B$6)-E17)-($B$4*(1-H17)+IF(H17&lt;1,0.001,0)))*(1+($B$4*(1-H17)+IF(H17&lt;1,0.001,0))))</f>
        <v/>
      </c>
      <c r="K17" s="10">
        <f>IF(B17="","",J17/B17-1)</f>
        <v/>
      </c>
      <c r="L17" s="26">
        <f>IF(B17="","",(I17+C17-(C17*$B$7*($B$4+$B$5)/(1+($B$4+$B$5))))/(1-E17*(1+(($B$4+$B$5)*(1-H17))))*(1+(($B$4+$B$5)*(1-H17))))</f>
        <v/>
      </c>
      <c r="M17" s="10">
        <f>IF(B17="","",L17/B17-1)</f>
        <v/>
      </c>
    </row>
    <row r="18">
      <c r="A18" s="5" t="inlineStr"/>
      <c r="B18" s="7" t="n"/>
      <c r="C18" s="7" t="n"/>
      <c r="D18" s="23" t="n"/>
      <c r="E18" s="23" t="n"/>
      <c r="F18" s="23" t="n"/>
      <c r="G18" s="23" t="n"/>
      <c r="H18" s="24" t="n"/>
      <c r="I18" s="26">
        <f>IF(B18="","",B18*(1-D18-E18)-C18+C18*F18*$B$7)</f>
        <v/>
      </c>
      <c r="J18" s="26">
        <f>IF(B18="","",(I18+C18-(C18*$B$7*$B$4/(1+$B$4+MAX(0,D18-$B$6))+C18*$B$7*G18))/((1+($B$4*(1-H18)+IF(H18&lt;1,0.001,0)))*(1-MAX(0,D18-$B$6)-E18)-($B$4*(1-H18)+IF(H18&lt;1,0.001,0)))*(1+($B$4*(1-H18)+IF(H18&lt;1,0.001,0))))</f>
        <v/>
      </c>
      <c r="K18" s="10">
        <f>IF(B18="","",J18/B18-1)</f>
        <v/>
      </c>
      <c r="L18" s="26">
        <f>IF(B18="","",(I18+C18-(C18*$B$7*($B$4+$B$5)/(1+($B$4+$B$5))))/(1-E18*(1+(($B$4+$B$5)*(1-H18))))*(1+(($B$4+$B$5)*(1-H18))))</f>
        <v/>
      </c>
      <c r="M18" s="10">
        <f>IF(B18="","",L18/B18-1)</f>
        <v/>
      </c>
    </row>
    <row r="19">
      <c r="A19" s="5" t="inlineStr"/>
      <c r="B19" s="7" t="n"/>
      <c r="C19" s="7" t="n"/>
      <c r="D19" s="23" t="n"/>
      <c r="E19" s="23" t="n"/>
      <c r="F19" s="23" t="n"/>
      <c r="G19" s="23" t="n"/>
      <c r="H19" s="24" t="n"/>
      <c r="I19" s="26">
        <f>IF(B19="","",B19*(1-D19-E19)-C19+C19*F19*$B$7)</f>
        <v/>
      </c>
      <c r="J19" s="26">
        <f>IF(B19="","",(I19+C19-(C19*$B$7*$B$4/(1+$B$4+MAX(0,D19-$B$6))+C19*$B$7*G19))/((1+($B$4*(1-H19)+IF(H19&lt;1,0.001,0)))*(1-MAX(0,D19-$B$6)-E19)-($B$4*(1-H19)+IF(H19&lt;1,0.001,0)))*(1+($B$4*(1-H19)+IF(H19&lt;1,0.001,0))))</f>
        <v/>
      </c>
      <c r="K19" s="10">
        <f>IF(B19="","",J19/B19-1)</f>
        <v/>
      </c>
      <c r="L19" s="26">
        <f>IF(B19="","",(I19+C19-(C19*$B$7*($B$4+$B$5)/(1+($B$4+$B$5))))/(1-E19*(1+(($B$4+$B$5)*(1-H19))))*(1+(($B$4+$B$5)*(1-H19))))</f>
        <v/>
      </c>
      <c r="M19" s="10">
        <f>IF(B19="","",L19/B19-1)</f>
        <v/>
      </c>
    </row>
    <row r="20">
      <c r="A20" s="5" t="inlineStr"/>
      <c r="B20" s="7" t="n"/>
      <c r="C20" s="7" t="n"/>
      <c r="D20" s="23" t="n"/>
      <c r="E20" s="23" t="n"/>
      <c r="F20" s="23" t="n"/>
      <c r="G20" s="23" t="n"/>
      <c r="H20" s="24" t="n"/>
      <c r="I20" s="26">
        <f>IF(B20="","",B20*(1-D20-E20)-C20+C20*F20*$B$7)</f>
        <v/>
      </c>
      <c r="J20" s="26">
        <f>IF(B20="","",(I20+C20-(C20*$B$7*$B$4/(1+$B$4+MAX(0,D20-$B$6))+C20*$B$7*G20))/((1+($B$4*(1-H20)+IF(H20&lt;1,0.001,0)))*(1-MAX(0,D20-$B$6)-E20)-($B$4*(1-H20)+IF(H20&lt;1,0.001,0)))*(1+($B$4*(1-H20)+IF(H20&lt;1,0.001,0))))</f>
        <v/>
      </c>
      <c r="K20" s="10">
        <f>IF(B20="","",J20/B20-1)</f>
        <v/>
      </c>
      <c r="L20" s="26">
        <f>IF(B20="","",(I20+C20-(C20*$B$7*($B$4+$B$5)/(1+($B$4+$B$5))))/(1-E20*(1+(($B$4+$B$5)*(1-H20))))*(1+(($B$4+$B$5)*(1-H20))))</f>
        <v/>
      </c>
      <c r="M20" s="10">
        <f>IF(B20="","",L20/B20-1)</f>
        <v/>
      </c>
    </row>
    <row r="21">
      <c r="A21" s="5" t="inlineStr"/>
      <c r="B21" s="7" t="n"/>
      <c r="C21" s="7" t="n"/>
      <c r="D21" s="23" t="n"/>
      <c r="E21" s="23" t="n"/>
      <c r="F21" s="23" t="n"/>
      <c r="G21" s="23" t="n"/>
      <c r="H21" s="24" t="n"/>
      <c r="I21" s="26">
        <f>IF(B21="","",B21*(1-D21-E21)-C21+C21*F21*$B$7)</f>
        <v/>
      </c>
      <c r="J21" s="26">
        <f>IF(B21="","",(I21+C21-(C21*$B$7*$B$4/(1+$B$4+MAX(0,D21-$B$6))+C21*$B$7*G21))/((1+($B$4*(1-H21)+IF(H21&lt;1,0.001,0)))*(1-MAX(0,D21-$B$6)-E21)-($B$4*(1-H21)+IF(H21&lt;1,0.001,0)))*(1+($B$4*(1-H21)+IF(H21&lt;1,0.001,0))))</f>
        <v/>
      </c>
      <c r="K21" s="10">
        <f>IF(B21="","",J21/B21-1)</f>
        <v/>
      </c>
      <c r="L21" s="26">
        <f>IF(B21="","",(I21+C21-(C21*$B$7*($B$4+$B$5)/(1+($B$4+$B$5))))/(1-E21*(1+(($B$4+$B$5)*(1-H21))))*(1+(($B$4+$B$5)*(1-H21))))</f>
        <v/>
      </c>
      <c r="M21" s="10">
        <f>IF(B21="","",L21/B21-1)</f>
        <v/>
      </c>
    </row>
    <row r="22">
      <c r="A22" s="5" t="inlineStr"/>
      <c r="B22" s="7" t="n"/>
      <c r="C22" s="7" t="n"/>
      <c r="D22" s="23" t="n"/>
      <c r="E22" s="23" t="n"/>
      <c r="F22" s="23" t="n"/>
      <c r="G22" s="23" t="n"/>
      <c r="H22" s="24" t="n"/>
      <c r="I22" s="26">
        <f>IF(B22="","",B22*(1-D22-E22)-C22+C22*F22*$B$7)</f>
        <v/>
      </c>
      <c r="J22" s="26">
        <f>IF(B22="","",(I22+C22-(C22*$B$7*$B$4/(1+$B$4+MAX(0,D22-$B$6))+C22*$B$7*G22))/((1+($B$4*(1-H22)+IF(H22&lt;1,0.001,0)))*(1-MAX(0,D22-$B$6)-E22)-($B$4*(1-H22)+IF(H22&lt;1,0.001,0)))*(1+($B$4*(1-H22)+IF(H22&lt;1,0.001,0))))</f>
        <v/>
      </c>
      <c r="K22" s="10">
        <f>IF(B22="","",J22/B22-1)</f>
        <v/>
      </c>
      <c r="L22" s="26">
        <f>IF(B22="","",(I22+C22-(C22*$B$7*($B$4+$B$5)/(1+($B$4+$B$5))))/(1-E22*(1+(($B$4+$B$5)*(1-H22))))*(1+(($B$4+$B$5)*(1-H22))))</f>
        <v/>
      </c>
      <c r="M22" s="10">
        <f>IF(B22="","",L22/B22-1)</f>
        <v/>
      </c>
    </row>
    <row r="23">
      <c r="A23" s="5" t="inlineStr"/>
      <c r="B23" s="7" t="n"/>
      <c r="C23" s="7" t="n"/>
      <c r="D23" s="23" t="n"/>
      <c r="E23" s="23" t="n"/>
      <c r="F23" s="23" t="n"/>
      <c r="G23" s="23" t="n"/>
      <c r="H23" s="24" t="n"/>
      <c r="I23" s="26">
        <f>IF(B23="","",B23*(1-D23-E23)-C23+C23*F23*$B$7)</f>
        <v/>
      </c>
      <c r="J23" s="26">
        <f>IF(B23="","",(I23+C23-(C23*$B$7*$B$4/(1+$B$4+MAX(0,D23-$B$6))+C23*$B$7*G23))/((1+($B$4*(1-H23)+IF(H23&lt;1,0.001,0)))*(1-MAX(0,D23-$B$6)-E23)-($B$4*(1-H23)+IF(H23&lt;1,0.001,0)))*(1+($B$4*(1-H23)+IF(H23&lt;1,0.001,0))))</f>
        <v/>
      </c>
      <c r="K23" s="10">
        <f>IF(B23="","",J23/B23-1)</f>
        <v/>
      </c>
      <c r="L23" s="26">
        <f>IF(B23="","",(I23+C23-(C23*$B$7*($B$4+$B$5)/(1+($B$4+$B$5))))/(1-E23*(1+(($B$4+$B$5)*(1-H23))))*(1+(($B$4+$B$5)*(1-H23))))</f>
        <v/>
      </c>
      <c r="M23" s="10">
        <f>IF(B23="","",L23/B23-1)</f>
        <v/>
      </c>
    </row>
    <row r="24">
      <c r="A24" s="5" t="inlineStr"/>
      <c r="B24" s="7" t="n"/>
      <c r="C24" s="7" t="n"/>
      <c r="D24" s="23" t="n"/>
      <c r="E24" s="23" t="n"/>
      <c r="F24" s="23" t="n"/>
      <c r="G24" s="23" t="n"/>
      <c r="H24" s="24" t="n"/>
      <c r="I24" s="26">
        <f>IF(B24="","",B24*(1-D24-E24)-C24+C24*F24*$B$7)</f>
        <v/>
      </c>
      <c r="J24" s="26">
        <f>IF(B24="","",(I24+C24-(C24*$B$7*$B$4/(1+$B$4+MAX(0,D24-$B$6))+C24*$B$7*G24))/((1+($B$4*(1-H24)+IF(H24&lt;1,0.001,0)))*(1-MAX(0,D24-$B$6)-E24)-($B$4*(1-H24)+IF(H24&lt;1,0.001,0)))*(1+($B$4*(1-H24)+IF(H24&lt;1,0.001,0))))</f>
        <v/>
      </c>
      <c r="K24" s="10">
        <f>IF(B24="","",J24/B24-1)</f>
        <v/>
      </c>
      <c r="L24" s="26">
        <f>IF(B24="","",(I24+C24-(C24*$B$7*($B$4+$B$5)/(1+($B$4+$B$5))))/(1-E24*(1+(($B$4+$B$5)*(1-H24))))*(1+(($B$4+$B$5)*(1-H24))))</f>
        <v/>
      </c>
      <c r="M24" s="10">
        <f>IF(B24="","",L24/B24-1)</f>
        <v/>
      </c>
    </row>
    <row r="26">
      <c r="A26" s="22" t="inlineStr">
        <is>
          <t>Preço 2027/2033 já inclui o IBS/CBS 'por fora'. Estimativa educativa: confirme com o contador. Mesma conta do simulador Preço 2027 do app.</t>
        </is>
      </c>
    </row>
  </sheetData>
  <conditionalFormatting sqref="K10:K24">
    <cfRule type="cellIs" priority="1" operator="greaterThan" dxfId="3">
      <formula>0.005</formula>
    </cfRule>
  </conditionalFormatting>
  <conditionalFormatting sqref="M10:M24">
    <cfRule type="cellIs" priority="2" operator="greaterThan" dxfId="3">
      <formula>0.005</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2026-10-28T09:53:09Z</dcterms:created>
  <dcterms:modified xmlns:dcterms="http://purl.org/dc/terms/" xmlns:xsi="http://www.w3.org/2001/XMLSchema-instance" xsi:type="dcterms:W3CDTF">2026-10-28T09:53:09Z</dcterms:modified>
</cp:coreProperties>
</file>